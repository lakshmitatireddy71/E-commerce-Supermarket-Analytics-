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/>
  <xr:revisionPtr revIDLastSave="303" documentId="11_2843B3978213D1A964D9BFF8D238BEFFF934EAC0" xr6:coauthVersionLast="47" xr6:coauthVersionMax="47" xr10:uidLastSave="{521B2C24-F78B-4877-94CC-542FFAD9E45F}"/>
  <bookViews>
    <workbookView xWindow="0" yWindow="0" windowWidth="0" windowHeight="0" xr2:uid="{00000000-000D-0000-FFFF-FFFF00000000}"/>
  </bookViews>
  <sheets>
    <sheet name="PIVOT TABLES" sheetId="2" r:id="rId1"/>
    <sheet name="SalesData" sheetId="1" r:id="rId2"/>
  </sheets>
  <definedNames>
    <definedName name="_xlnm._FilterDatabase" localSheetId="0" hidden="1">'PIVOT TABLES'!$E$3:$E$3</definedName>
    <definedName name="Slicer_Category">#N/A</definedName>
    <definedName name="Slicer_Product">#N/A</definedName>
  </definedNames>
  <calcPr calcId="191028"/>
  <pivotCaches>
    <pivotCache cacheId="8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N15" i="1"/>
  <c r="N1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N10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<sst xmlns="http://schemas.openxmlformats.org/spreadsheetml/2006/main" count="2041" uniqueCount="333">
  <si>
    <r>
      <rPr>
        <sz val="11"/>
        <color rgb="FF000000"/>
        <rFont val="Calibri"/>
        <scheme val="minor"/>
      </rPr>
      <t xml:space="preserve">             </t>
    </r>
    <r>
      <rPr>
        <b/>
        <sz val="11"/>
        <color rgb="FF000000"/>
        <rFont val="Calibri"/>
        <scheme val="minor"/>
      </rPr>
      <t xml:space="preserve">                      SALES BY Category</t>
    </r>
    <r>
      <rPr>
        <sz val="11"/>
        <color rgb="FF000000"/>
        <rFont val="Calibri"/>
        <scheme val="minor"/>
      </rPr>
      <t xml:space="preserve">   </t>
    </r>
  </si>
  <si>
    <r>
      <rPr>
        <sz val="11"/>
        <color rgb="FF000000"/>
        <rFont val="Calibri"/>
        <scheme val="minor"/>
      </rPr>
      <t xml:space="preserve">               </t>
    </r>
    <r>
      <rPr>
        <b/>
        <sz val="11"/>
        <color rgb="FF000000"/>
        <rFont val="Calibri"/>
        <scheme val="minor"/>
      </rPr>
      <t>Profit by Category</t>
    </r>
  </si>
  <si>
    <t xml:space="preserve">          Top Products</t>
  </si>
  <si>
    <t>Category</t>
  </si>
  <si>
    <t>Sum of Net_Sales</t>
  </si>
  <si>
    <t>Sum of Profit</t>
  </si>
  <si>
    <t>Fashion</t>
  </si>
  <si>
    <t>Product</t>
  </si>
  <si>
    <t>Grand Total</t>
  </si>
  <si>
    <t>Shoes</t>
  </si>
  <si>
    <t>Order_ID</t>
  </si>
  <si>
    <t>Order_Date</t>
  </si>
  <si>
    <t>Customer_Name</t>
  </si>
  <si>
    <t>Quantity</t>
  </si>
  <si>
    <t>Unit_Price</t>
  </si>
  <si>
    <t>Discount_%</t>
  </si>
  <si>
    <t>Gross_Sales</t>
  </si>
  <si>
    <t>Discount_Amount</t>
  </si>
  <si>
    <t>Net_Sales</t>
  </si>
  <si>
    <t>Profit</t>
  </si>
  <si>
    <t>2025-08-22</t>
  </si>
  <si>
    <t>Deepa</t>
  </si>
  <si>
    <t>T-Shirt</t>
  </si>
  <si>
    <t xml:space="preserve"> KPI FORMULAS</t>
  </si>
  <si>
    <t>2025-11-22</t>
  </si>
  <si>
    <t>Naveen</t>
  </si>
  <si>
    <t xml:space="preserve"> SUM</t>
  </si>
  <si>
    <t>2025-03-23</t>
  </si>
  <si>
    <t>Suresh</t>
  </si>
  <si>
    <t>Jeans</t>
  </si>
  <si>
    <t>Average Sales</t>
  </si>
  <si>
    <t>2025-08-31</t>
  </si>
  <si>
    <t>Grocery</t>
  </si>
  <si>
    <t>Rice</t>
  </si>
  <si>
    <t>Maximum Sales</t>
  </si>
  <si>
    <t>2025-12-04</t>
  </si>
  <si>
    <t>Minimum Sales</t>
  </si>
  <si>
    <t>2025-10-09</t>
  </si>
  <si>
    <t>Rahul</t>
  </si>
  <si>
    <t>TOTAL ORDERS</t>
  </si>
  <si>
    <t>2025-05-09</t>
  </si>
  <si>
    <t>Sugar</t>
  </si>
  <si>
    <t>2025-06-19</t>
  </si>
  <si>
    <t>IF CONDITION</t>
  </si>
  <si>
    <t>IF(K2&gt;10000,"High Sale","Low Sale")</t>
  </si>
  <si>
    <t>2025-10-01</t>
  </si>
  <si>
    <t>Lakshmi</t>
  </si>
  <si>
    <t>Electronics</t>
  </si>
  <si>
    <t>Headphones</t>
  </si>
  <si>
    <t>2025-04-21</t>
  </si>
  <si>
    <t>Ravi</t>
  </si>
  <si>
    <t>Oil</t>
  </si>
  <si>
    <t>2025-12-08</t>
  </si>
  <si>
    <t>XLOOUP</t>
  </si>
  <si>
    <t>XLOOKUP(E2,Product_Table[Product],Product_Table[Product])</t>
  </si>
  <si>
    <t>2025-08-21</t>
  </si>
  <si>
    <t>Kiran</t>
  </si>
  <si>
    <t>2025-03-22</t>
  </si>
  <si>
    <t>Pooja</t>
  </si>
  <si>
    <t>SUMIFS</t>
  </si>
  <si>
    <t>SUMIFS(K:K,D:D,"Electronics")</t>
  </si>
  <si>
    <t>2025-08-02</t>
  </si>
  <si>
    <t>2025-09-11</t>
  </si>
  <si>
    <t>COUNTIFS</t>
  </si>
  <si>
    <t>COUNTIFS(D:D,"Electronics")</t>
  </si>
  <si>
    <t>2025-12-12</t>
  </si>
  <si>
    <t>Anil</t>
  </si>
  <si>
    <t>2025-11-19</t>
  </si>
  <si>
    <t>2025-10-17</t>
  </si>
  <si>
    <t>2025-01-31</t>
  </si>
  <si>
    <t>Priya</t>
  </si>
  <si>
    <t>Mobile</t>
  </si>
  <si>
    <t>2025-02-02</t>
  </si>
  <si>
    <t>2025-09-25</t>
  </si>
  <si>
    <t>2025-12-02</t>
  </si>
  <si>
    <t>Laptop</t>
  </si>
  <si>
    <t>2025-03-18</t>
  </si>
  <si>
    <t>2025-11-20</t>
  </si>
  <si>
    <t>2025-06-25</t>
  </si>
  <si>
    <t>2025-07-19</t>
  </si>
  <si>
    <t>2025-01-07</t>
  </si>
  <si>
    <t>2025-07-21</t>
  </si>
  <si>
    <t>2025-11-02</t>
  </si>
  <si>
    <t>2025-09-10</t>
  </si>
  <si>
    <t>2025-09-13</t>
  </si>
  <si>
    <t>2025-05-24</t>
  </si>
  <si>
    <t>2025-07-06</t>
  </si>
  <si>
    <t>2025-06-03</t>
  </si>
  <si>
    <t>2025-07-16</t>
  </si>
  <si>
    <t>2025-08-05</t>
  </si>
  <si>
    <t>2025-12-03</t>
  </si>
  <si>
    <t>2025-10-19</t>
  </si>
  <si>
    <t>2025-10-25</t>
  </si>
  <si>
    <t>2025-11-01</t>
  </si>
  <si>
    <t>2025-03-13</t>
  </si>
  <si>
    <t>2025-01-09</t>
  </si>
  <si>
    <t>2025-03-30</t>
  </si>
  <si>
    <t>2025-09-06</t>
  </si>
  <si>
    <t>2025-05-31</t>
  </si>
  <si>
    <t>2025-08-28</t>
  </si>
  <si>
    <t>2025-02-17</t>
  </si>
  <si>
    <t>2025-05-20</t>
  </si>
  <si>
    <t>2025-07-17</t>
  </si>
  <si>
    <t>2025-09-30</t>
  </si>
  <si>
    <t>2025-07-10</t>
  </si>
  <si>
    <t>2025-11-11</t>
  </si>
  <si>
    <t>2025-03-29</t>
  </si>
  <si>
    <t>2025-06-15</t>
  </si>
  <si>
    <t>2025-04-28</t>
  </si>
  <si>
    <t>2025-04-16</t>
  </si>
  <si>
    <t>2025-07-07</t>
  </si>
  <si>
    <t>2025-03-14</t>
  </si>
  <si>
    <t>2025-02-26</t>
  </si>
  <si>
    <t>2025-04-30</t>
  </si>
  <si>
    <t>2025-02-09</t>
  </si>
  <si>
    <t>2025-04-23</t>
  </si>
  <si>
    <t>2025-07-09</t>
  </si>
  <si>
    <t>2025-12-31</t>
  </si>
  <si>
    <t>2025-07-25</t>
  </si>
  <si>
    <t>2025-03-04</t>
  </si>
  <si>
    <t>2025-06-02</t>
  </si>
  <si>
    <t>2025-11-12</t>
  </si>
  <si>
    <t>2025-07-20</t>
  </si>
  <si>
    <t>2025-04-24</t>
  </si>
  <si>
    <t>2025-03-21</t>
  </si>
  <si>
    <t>2025-01-25</t>
  </si>
  <si>
    <t>2025-04-19</t>
  </si>
  <si>
    <t>2025-03-06</t>
  </si>
  <si>
    <t>2025-06-11</t>
  </si>
  <si>
    <t>2025-05-22</t>
  </si>
  <si>
    <t>2025-01-02</t>
  </si>
  <si>
    <t>2025-01-05</t>
  </si>
  <si>
    <t>2025-07-28</t>
  </si>
  <si>
    <t>2025-07-02</t>
  </si>
  <si>
    <t>2025-02-25</t>
  </si>
  <si>
    <t>2025-06-18</t>
  </si>
  <si>
    <t>2025-04-07</t>
  </si>
  <si>
    <t>2025-10-29</t>
  </si>
  <si>
    <t>2025-05-25</t>
  </si>
  <si>
    <t>2025-11-21</t>
  </si>
  <si>
    <t>2025-04-29</t>
  </si>
  <si>
    <t>2025-10-24</t>
  </si>
  <si>
    <t>2025-05-17</t>
  </si>
  <si>
    <t>2025-09-29</t>
  </si>
  <si>
    <t>2025-11-16</t>
  </si>
  <si>
    <t>2025-01-13</t>
  </si>
  <si>
    <t>2025-06-05</t>
  </si>
  <si>
    <t>2025-01-15</t>
  </si>
  <si>
    <t>2025-03-27</t>
  </si>
  <si>
    <t>2025-05-05</t>
  </si>
  <si>
    <t>2025-11-24</t>
  </si>
  <si>
    <t>2025-12-15</t>
  </si>
  <si>
    <t>2025-10-14</t>
  </si>
  <si>
    <t>2025-07-01</t>
  </si>
  <si>
    <t>2025-07-29</t>
  </si>
  <si>
    <t>2025-11-05</t>
  </si>
  <si>
    <t>2025-11-09</t>
  </si>
  <si>
    <t>2025-06-08</t>
  </si>
  <si>
    <t>2025-02-07</t>
  </si>
  <si>
    <t>2025-01-16</t>
  </si>
  <si>
    <t>2025-11-07</t>
  </si>
  <si>
    <t>2025-07-23</t>
  </si>
  <si>
    <t>2025-05-07</t>
  </si>
  <si>
    <t>2025-07-31</t>
  </si>
  <si>
    <t>2025-08-30</t>
  </si>
  <si>
    <t>2025-03-24</t>
  </si>
  <si>
    <t>2025-09-08</t>
  </si>
  <si>
    <t>2025-03-10</t>
  </si>
  <si>
    <t>2025-10-20</t>
  </si>
  <si>
    <t>2025-12-17</t>
  </si>
  <si>
    <t>2025-04-06</t>
  </si>
  <si>
    <t>2025-07-08</t>
  </si>
  <si>
    <t>2025-06-14</t>
  </si>
  <si>
    <t>2025-03-31</t>
  </si>
  <si>
    <t>2025-05-19</t>
  </si>
  <si>
    <t>2025-12-05</t>
  </si>
  <si>
    <t>2025-02-06</t>
  </si>
  <si>
    <t>2025-06-17</t>
  </si>
  <si>
    <t>2025-02-19</t>
  </si>
  <si>
    <t>2025-11-10</t>
  </si>
  <si>
    <t>2025-06-28</t>
  </si>
  <si>
    <t>2025-12-18</t>
  </si>
  <si>
    <t>2025-12-10</t>
  </si>
  <si>
    <t>2025-04-10</t>
  </si>
  <si>
    <t>2025-07-24</t>
  </si>
  <si>
    <t>2025-01-30</t>
  </si>
  <si>
    <t>2025-08-04</t>
  </si>
  <si>
    <t>2025-08-20</t>
  </si>
  <si>
    <t>2025-01-03</t>
  </si>
  <si>
    <t>2025-12-13</t>
  </si>
  <si>
    <t>2025-08-15</t>
  </si>
  <si>
    <t>2025-04-09</t>
  </si>
  <si>
    <t>2025-02-16</t>
  </si>
  <si>
    <t>2025-01-22</t>
  </si>
  <si>
    <t>2025-12-26</t>
  </si>
  <si>
    <t>2025-06-23</t>
  </si>
  <si>
    <t>2025-08-23</t>
  </si>
  <si>
    <t>2025-07-03</t>
  </si>
  <si>
    <t>2025-10-06</t>
  </si>
  <si>
    <t>2025-11-04</t>
  </si>
  <si>
    <t>2025-09-18</t>
  </si>
  <si>
    <t>2025-01-08</t>
  </si>
  <si>
    <t>2025-04-11</t>
  </si>
  <si>
    <t>2025-08-12</t>
  </si>
  <si>
    <t>2025-08-08</t>
  </si>
  <si>
    <t>2025-07-27</t>
  </si>
  <si>
    <t>2025-01-21</t>
  </si>
  <si>
    <t>2025-09-28</t>
  </si>
  <si>
    <t>2025-08-17</t>
  </si>
  <si>
    <t>2025-08-10</t>
  </si>
  <si>
    <t>2025-12-24</t>
  </si>
  <si>
    <t>2025-03-26</t>
  </si>
  <si>
    <t>2025-05-12</t>
  </si>
  <si>
    <t>2025-12-16</t>
  </si>
  <si>
    <t>2025-08-01</t>
  </si>
  <si>
    <t>2025-02-28</t>
  </si>
  <si>
    <t>2025-12-06</t>
  </si>
  <si>
    <t>2025-10-22</t>
  </si>
  <si>
    <t>2025-04-20</t>
  </si>
  <si>
    <t>2025-03-07</t>
  </si>
  <si>
    <t>2025-10-30</t>
  </si>
  <si>
    <t>2025-03-16</t>
  </si>
  <si>
    <t>2025-02-27</t>
  </si>
  <si>
    <t>2025-03-01</t>
  </si>
  <si>
    <t>2025-06-21</t>
  </si>
  <si>
    <t>2025-07-30</t>
  </si>
  <si>
    <t>2025-03-17</t>
  </si>
  <si>
    <t>2025-10-08</t>
  </si>
  <si>
    <t>2025-05-16</t>
  </si>
  <si>
    <t>2025-10-13</t>
  </si>
  <si>
    <t>2025-09-03</t>
  </si>
  <si>
    <t>2025-06-13</t>
  </si>
  <si>
    <t>2025-01-11</t>
  </si>
  <si>
    <t>2025-05-01</t>
  </si>
  <si>
    <t>2025-10-12</t>
  </si>
  <si>
    <t>2025-05-06</t>
  </si>
  <si>
    <t>2025-03-12</t>
  </si>
  <si>
    <t>2025-12-27</t>
  </si>
  <si>
    <t>2025-05-27</t>
  </si>
  <si>
    <t>2025-09-26</t>
  </si>
  <si>
    <t>2025-10-05</t>
  </si>
  <si>
    <t>2025-02-15</t>
  </si>
  <si>
    <t>2025-03-25</t>
  </si>
  <si>
    <t>2025-04-04</t>
  </si>
  <si>
    <t>2025-11-03</t>
  </si>
  <si>
    <t>2026-01-01</t>
  </si>
  <si>
    <t>2025-09-01</t>
  </si>
  <si>
    <t>2025-10-15</t>
  </si>
  <si>
    <t>2025-09-09</t>
  </si>
  <si>
    <t>2025-02-13</t>
  </si>
  <si>
    <t>2025-11-23</t>
  </si>
  <si>
    <t>2025-05-14</t>
  </si>
  <si>
    <t>2025-12-21</t>
  </si>
  <si>
    <t>2025-07-13</t>
  </si>
  <si>
    <t>2025-10-11</t>
  </si>
  <si>
    <t>2025-05-18</t>
  </si>
  <si>
    <t>2025-11-18</t>
  </si>
  <si>
    <t>2025-10-02</t>
  </si>
  <si>
    <t>2025-05-28</t>
  </si>
  <si>
    <t>2025-09-02</t>
  </si>
  <si>
    <t>2025-06-10</t>
  </si>
  <si>
    <t>2025-04-14</t>
  </si>
  <si>
    <t>2025-10-16</t>
  </si>
  <si>
    <t>2025-04-22</t>
  </si>
  <si>
    <t>2025-06-26</t>
  </si>
  <si>
    <t>2025-04-27</t>
  </si>
  <si>
    <t>2025-02-05</t>
  </si>
  <si>
    <t>2025-02-12</t>
  </si>
  <si>
    <t>2025-08-27</t>
  </si>
  <si>
    <t>2025-07-05</t>
  </si>
  <si>
    <t>2025-02-23</t>
  </si>
  <si>
    <t>2025-08-16</t>
  </si>
  <si>
    <t>2025-10-28</t>
  </si>
  <si>
    <t>2025-01-29</t>
  </si>
  <si>
    <t>2025-05-30</t>
  </si>
  <si>
    <t>2025-05-23</t>
  </si>
  <si>
    <t>2025-06-20</t>
  </si>
  <si>
    <t>2025-05-08</t>
  </si>
  <si>
    <t>2025-01-12</t>
  </si>
  <si>
    <t>2025-03-28</t>
  </si>
  <si>
    <t>2025-12-01</t>
  </si>
  <si>
    <t>2025-04-12</t>
  </si>
  <si>
    <t>2025-06-06</t>
  </si>
  <si>
    <t>2025-01-26</t>
  </si>
  <si>
    <t>2025-11-30</t>
  </si>
  <si>
    <t>2025-02-01</t>
  </si>
  <si>
    <t>2025-12-25</t>
  </si>
  <si>
    <t>2025-01-14</t>
  </si>
  <si>
    <t>2025-05-02</t>
  </si>
  <si>
    <t>2025-08-14</t>
  </si>
  <si>
    <t>2025-09-20</t>
  </si>
  <si>
    <t>2025-01-28</t>
  </si>
  <si>
    <t>2025-08-07</t>
  </si>
  <si>
    <t>2025-12-28</t>
  </si>
  <si>
    <t>2025-01-24</t>
  </si>
  <si>
    <t>2025-02-11</t>
  </si>
  <si>
    <t>2025-08-25</t>
  </si>
  <si>
    <t>2025-11-28</t>
  </si>
  <si>
    <t>2025-11-29</t>
  </si>
  <si>
    <t>2025-08-19</t>
  </si>
  <si>
    <t>2025-04-03</t>
  </si>
  <si>
    <t>2025-02-10</t>
  </si>
  <si>
    <t>2025-10-07</t>
  </si>
  <si>
    <t>2025-09-24</t>
  </si>
  <si>
    <t>2025-06-22</t>
  </si>
  <si>
    <t>2025-02-20</t>
  </si>
  <si>
    <t>2025-10-04</t>
  </si>
  <si>
    <t>2025-07-12</t>
  </si>
  <si>
    <t>2025-01-01</t>
  </si>
  <si>
    <t>2025-11-27</t>
  </si>
  <si>
    <t>2025-02-24</t>
  </si>
  <si>
    <t>2025-07-15</t>
  </si>
  <si>
    <t>2025-02-03</t>
  </si>
  <si>
    <t>2025-08-26</t>
  </si>
  <si>
    <t>2025-08-13</t>
  </si>
  <si>
    <t>2025-05-10</t>
  </si>
  <si>
    <t>2025-10-23</t>
  </si>
  <si>
    <t>2025-04-15</t>
  </si>
  <si>
    <t>2025-03-11</t>
  </si>
  <si>
    <t>2025-05-29</t>
  </si>
  <si>
    <t>2025-06-07</t>
  </si>
  <si>
    <t>2025-01-23</t>
  </si>
  <si>
    <t>2025-01-27</t>
  </si>
  <si>
    <t>2025-04-13</t>
  </si>
  <si>
    <t>2025-06-09</t>
  </si>
  <si>
    <t>2025-10-18</t>
  </si>
  <si>
    <t>2025-01-20</t>
  </si>
  <si>
    <t>2025-02-21</t>
  </si>
  <si>
    <t>2025-08-06</t>
  </si>
  <si>
    <t>2025-10-31</t>
  </si>
  <si>
    <t>2025-05-15</t>
  </si>
  <si>
    <t>2025-06-01</t>
  </si>
  <si>
    <t>2025-03-09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</si>
</sst>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0" fillId="4" borderId="0" xfId="0" applyFill="1"/>
    <xf numFmtId="0" fontId="2" fillId="4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</cellXfs>
  <cellStyles count="1">
    <cellStyle name="Normal" xfId="0" builtinId="0"/>
  </cellStyles>
  <dxfs count="2">
    <dxf>
      <numFmt numFmtId="0" formatCode="General"/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Electronics</c:v>
              </c:pt>
              <c:pt idx="1">
                <c:v>Fashion</c:v>
              </c:pt>
              <c:pt idx="2">
                <c:v>Grocery</c:v>
              </c:pt>
            </c:strLit>
          </c:cat>
          <c:val>
            <c:numLit>
              <c:formatCode>General</c:formatCode>
              <c:ptCount val="3"/>
              <c:pt idx="0">
                <c:v>2442894.2000000002</c:v>
              </c:pt>
              <c:pt idx="1">
                <c:v>2026039.4</c:v>
              </c:pt>
              <c:pt idx="2">
                <c:v>1694499</c:v>
              </c:pt>
            </c:numLit>
          </c:val>
          <c:extLst>
            <c:ext xmlns:c16="http://schemas.microsoft.com/office/drawing/2014/chart" uri="{C3380CC4-5D6E-409C-BE32-E72D297353CC}">
              <c16:uniqueId val="{00000000-5D55-4228-9251-5E34847E7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900424"/>
        <c:axId val="683914760"/>
      </c:barChart>
      <c:catAx>
        <c:axId val="683900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14760"/>
        <c:crosses val="autoZero"/>
        <c:auto val="1"/>
        <c:lblAlgn val="ctr"/>
        <c:lblOffset val="100"/>
        <c:noMultiLvlLbl val="0"/>
      </c:catAx>
      <c:valAx>
        <c:axId val="68391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0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1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52-4184-811A-631FE1D77B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52-4184-811A-631FE1D77B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52-4184-811A-631FE1D77B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Electronics</c:v>
              </c:pt>
              <c:pt idx="1">
                <c:v>Fashion</c:v>
              </c:pt>
              <c:pt idx="2">
                <c:v>Grocery</c:v>
              </c:pt>
            </c:strLit>
          </c:cat>
          <c:val>
            <c:numLit>
              <c:formatCode>General</c:formatCode>
              <c:ptCount val="3"/>
              <c:pt idx="0">
                <c:v>12214471</c:v>
              </c:pt>
              <c:pt idx="1">
                <c:v>10130197</c:v>
              </c:pt>
              <c:pt idx="2">
                <c:v>8472495</c:v>
              </c:pt>
            </c:numLit>
          </c:val>
          <c:extLst>
            <c:ext xmlns:c16="http://schemas.microsoft.com/office/drawing/2014/chart" uri="{C3380CC4-5D6E-409C-BE32-E72D297353CC}">
              <c16:uniqueId val="{00000000-EC3D-4AC2-AB4B-23196766E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[Ecommerce_Supermarket_500Rows.xlsx]PIVOT 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TABLES'!$T$6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'PIVOT TABLES'!$S$7:$S$8</c:f>
              <c:strCache>
                <c:ptCount val="1"/>
                <c:pt idx="0">
                  <c:v>Shoes</c:v>
                </c:pt>
              </c:strCache>
            </c:strRef>
          </c:cat>
          <c:val>
            <c:numRef>
              <c:f>'PIVOT TABLES'!$T$7:$T$8</c:f>
              <c:numCache>
                <c:formatCode>General</c:formatCode>
                <c:ptCount val="1"/>
                <c:pt idx="0">
                  <c:v>3546363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8-4944-9417-D7EBF08D6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526856"/>
        <c:axId val="56533000"/>
      </c:barChart>
      <c:catAx>
        <c:axId val="5652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33000"/>
        <c:crosses val="autoZero"/>
        <c:auto val="1"/>
        <c:lblAlgn val="ctr"/>
        <c:lblOffset val="100"/>
        <c:noMultiLvlLbl val="0"/>
      </c:catAx>
      <c:valAx>
        <c:axId val="5653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9</xdr:row>
      <xdr:rowOff>171450</xdr:rowOff>
    </xdr:from>
    <xdr:to>
      <xdr:col>13</xdr:col>
      <xdr:colOff>247650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A0974E-E267-EC32-832C-21C2B0DBD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809625</xdr:colOff>
      <xdr:row>11</xdr:row>
      <xdr:rowOff>66675</xdr:rowOff>
    </xdr:from>
    <xdr:to>
      <xdr:col>3</xdr:col>
      <xdr:colOff>1343025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490B0B-1DA1-923B-57A0-FE6D286691EC}"/>
            </a:ext>
            <a:ext uri="{147F2762-F138-4A5C-976F-8EAC2B608ADB}">
              <a16:predDERef xmlns:a16="http://schemas.microsoft.com/office/drawing/2014/main" pred="{7EA0974E-E267-EC32-832C-21C2B0DBD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762000</xdr:colOff>
      <xdr:row>1</xdr:row>
      <xdr:rowOff>66675</xdr:rowOff>
    </xdr:from>
    <xdr:to>
      <xdr:col>9</xdr:col>
      <xdr:colOff>142875</xdr:colOff>
      <xdr:row>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0D3689F6-33D7-9314-343D-BD011947DFC1}"/>
                </a:ext>
                <a:ext uri="{147F2762-F138-4A5C-976F-8EAC2B608ADB}">
                  <a16:predDERef xmlns:a16="http://schemas.microsoft.com/office/drawing/2014/main" pred="{01490B0B-1DA1-923B-57A0-FE6D286691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950" y="257175"/>
              <a:ext cx="2847975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400050</xdr:colOff>
      <xdr:row>1</xdr:row>
      <xdr:rowOff>152400</xdr:rowOff>
    </xdr:from>
    <xdr:to>
      <xdr:col>17</xdr:col>
      <xdr:colOff>400050</xdr:colOff>
      <xdr:row>11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">
              <a:extLst>
                <a:ext uri="{FF2B5EF4-FFF2-40B4-BE49-F238E27FC236}">
                  <a16:creationId xmlns:a16="http://schemas.microsoft.com/office/drawing/2014/main" id="{736F75F4-901A-B64D-26DF-A3E3694D497F}"/>
                </a:ext>
                <a:ext uri="{147F2762-F138-4A5C-976F-8EAC2B608ADB}">
                  <a16:predDERef xmlns:a16="http://schemas.microsoft.com/office/drawing/2014/main" pred="{0D3689F6-33D7-9314-343D-BD011947DF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5200" y="342900"/>
              <a:ext cx="1828800" cy="1952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16</xdr:col>
      <xdr:colOff>66675</xdr:colOff>
      <xdr:row>16</xdr:row>
      <xdr:rowOff>76200</xdr:rowOff>
    </xdr:from>
    <xdr:to>
      <xdr:col>22</xdr:col>
      <xdr:colOff>314325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896E5-1C7B-F31B-3D3C-6A9C37173EB9}"/>
            </a:ext>
            <a:ext uri="{147F2762-F138-4A5C-976F-8EAC2B608ADB}">
              <a16:predDERef xmlns:a16="http://schemas.microsoft.com/office/drawing/2014/main" pred="{736F75F4-901A-B64D-26DF-A3E3694D4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0.910658564811" createdVersion="8" refreshedVersion="8" minRefreshableVersion="3" recordCount="500" xr:uid="{98A8DC2F-A943-479F-8D03-2CC972AFFA69}">
  <cacheSource type="worksheet">
    <worksheetSource name="Table1"/>
  </cacheSource>
  <cacheFields count="12">
    <cacheField name="Order_ID" numFmtId="0">
      <sharedItems containsSemiMixedTypes="0" containsString="0" containsNumber="1" containsInteger="1" minValue="1001" maxValue="1500"/>
    </cacheField>
    <cacheField name="Order_Date" numFmtId="0">
      <sharedItems/>
    </cacheField>
    <cacheField name="Customer_Name" numFmtId="0">
      <sharedItems/>
    </cacheField>
    <cacheField name="Category" numFmtId="0">
      <sharedItems count="3">
        <s v="Fashion"/>
        <s v="Grocery"/>
        <s v="Electronics"/>
      </sharedItems>
    </cacheField>
    <cacheField name="Product" numFmtId="0">
      <sharedItems count="9">
        <s v="T-Shirt"/>
        <s v="Shoes"/>
        <s v="Jeans"/>
        <s v="Rice"/>
        <s v="Sugar"/>
        <s v="Headphones"/>
        <s v="Oil"/>
        <s v="Mobile"/>
        <s v="Laptop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500" maxValue="50000"/>
    </cacheField>
    <cacheField name="Discount_%" numFmtId="0">
      <sharedItems containsSemiMixedTypes="0" containsString="0" containsNumber="1" containsInteger="1" minValue="0" maxValue="15"/>
    </cacheField>
    <cacheField name="Gross_Sales" numFmtId="0">
      <sharedItems containsSemiMixedTypes="0" containsString="0" containsNumber="1" containsInteger="1" minValue="500" maxValue="500000"/>
    </cacheField>
    <cacheField name="Discount_Amount" numFmtId="0">
      <sharedItems containsSemiMixedTypes="0" containsString="0" containsNumber="1" containsInteger="1" minValue="0" maxValue="75000"/>
    </cacheField>
    <cacheField name="Net_Sales" numFmtId="0">
      <sharedItems containsSemiMixedTypes="0" containsString="0" containsNumber="1" containsInteger="1" minValue="450" maxValue="500000" count="212">
        <n v="9000"/>
        <n v="360000"/>
        <n v="90000"/>
        <n v="7200"/>
        <n v="2125"/>
        <n v="680"/>
        <n v="40500"/>
        <n v="1200"/>
        <n v="18000"/>
        <n v="88200"/>
        <n v="147000"/>
        <n v="2700"/>
        <n v="2160"/>
        <n v="162000"/>
        <n v="34000"/>
        <n v="39200"/>
        <n v="59500"/>
        <n v="25500"/>
        <n v="17150"/>
        <n v="35000"/>
        <n v="2940"/>
        <n v="20000"/>
        <n v="6080"/>
        <n v="850"/>
        <n v="15000"/>
        <n v="47500"/>
        <n v="40000"/>
        <n v="405000"/>
        <n v="23750"/>
        <n v="3500"/>
        <n v="17000"/>
        <n v="760"/>
        <n v="200000"/>
        <n v="10625"/>
        <n v="24500"/>
        <n v="19000"/>
        <n v="270000"/>
        <n v="7140"/>
        <n v="2450"/>
        <n v="450000"/>
        <n v="25000"/>
        <n v="7560"/>
        <n v="490000"/>
        <n v="5600"/>
        <n v="11400"/>
        <n v="3825"/>
        <n v="250000"/>
        <n v="19600"/>
        <n v="180000"/>
        <n v="5100"/>
        <n v="4900"/>
        <n v="6480"/>
        <n v="425000"/>
        <n v="4250"/>
        <n v="95000"/>
        <n v="6272"/>
        <n v="20250"/>
        <n v="85500"/>
        <n v="117600"/>
        <n v="31500"/>
        <n v="784"/>
        <n v="10000"/>
        <n v="7840"/>
        <n v="29400"/>
        <n v="28500"/>
        <n v="42750"/>
        <n v="63000"/>
        <n v="98000"/>
        <n v="196000"/>
        <n v="21250"/>
        <n v="4080"/>
        <n v="350000"/>
        <n v="80000"/>
        <n v="8500"/>
        <n v="5400"/>
        <n v="8000"/>
        <n v="3920"/>
        <n v="2375"/>
        <n v="42500"/>
        <n v="14875"/>
        <n v="6750"/>
        <n v="17500"/>
        <n v="45000"/>
        <n v="76000"/>
        <n v="5880"/>
        <n v="340000"/>
        <n v="1140"/>
        <n v="2500"/>
        <n v="4560"/>
        <n v="300000"/>
        <n v="5488"/>
        <n v="1900"/>
        <n v="19125"/>
        <n v="13500"/>
        <n v="58800"/>
        <n v="38000"/>
        <n v="5440"/>
        <n v="190000"/>
        <n v="285000"/>
        <n v="3000"/>
        <n v="3800"/>
        <n v="1020"/>
        <n v="255000"/>
        <n v="9120"/>
        <n v="114000"/>
        <n v="343000"/>
        <n v="49000"/>
        <n v="14250"/>
        <n v="11760"/>
        <n v="1350"/>
        <n v="9800"/>
        <n v="3400"/>
        <n v="2880"/>
        <n v="76500"/>
        <n v="380000"/>
        <n v="10584"/>
        <n v="3060"/>
        <n v="490"/>
        <n v="11875"/>
        <n v="50000"/>
        <n v="720"/>
        <n v="332500"/>
        <n v="2352"/>
        <n v="1520"/>
        <n v="7350"/>
        <n v="153000"/>
        <n v="2550"/>
        <n v="22500"/>
        <n v="12500"/>
        <n v="800"/>
        <n v="140000"/>
        <n v="6375"/>
        <n v="14700"/>
        <n v="9720"/>
        <n v="400000"/>
        <n v="7980"/>
        <n v="450"/>
        <n v="10200"/>
        <n v="294000"/>
        <n v="4704"/>
        <n v="427500"/>
        <n v="29750"/>
        <n v="81000"/>
        <n v="126000"/>
        <n v="100000"/>
        <n v="8232"/>
        <n v="441000"/>
        <n v="5320"/>
        <n v="3528"/>
        <n v="3600"/>
        <n v="170000"/>
        <n v="475"/>
        <n v="4800"/>
        <n v="1700"/>
        <n v="2280"/>
        <n v="85000"/>
        <n v="1275"/>
        <n v="150000"/>
        <n v="4410"/>
        <n v="21375"/>
        <n v="171000"/>
        <n v="10800"/>
        <n v="1425"/>
        <n v="152000"/>
        <n v="3040"/>
        <n v="2250"/>
        <n v="44100"/>
        <n v="4000"/>
        <n v="9500"/>
        <n v="15750"/>
        <n v="1360"/>
        <n v="392000"/>
        <n v="225000"/>
        <n v="7125"/>
        <n v="245000"/>
        <n v="38250"/>
        <n v="1176"/>
        <n v="30000"/>
        <n v="51000"/>
        <n v="9180"/>
        <n v="22050"/>
        <n v="78400"/>
        <n v="2000"/>
        <n v="54000"/>
        <n v="1000"/>
        <n v="3150"/>
        <n v="36000"/>
        <n v="950"/>
        <n v="12250"/>
        <n v="7600"/>
        <n v="34300"/>
        <n v="9600"/>
        <n v="57000"/>
        <n v="297500"/>
        <n v="68000"/>
        <n v="500000"/>
        <n v="68600"/>
        <n v="315000"/>
        <n v="2720"/>
        <n v="6400"/>
        <n v="3240"/>
        <n v="5700"/>
        <n v="60000"/>
        <n v="2040"/>
        <n v="3136"/>
        <n v="66500"/>
        <n v="1800"/>
        <n v="5040"/>
        <n v="4320"/>
        <n v="3200"/>
        <n v="176400"/>
        <n v="102000"/>
      </sharedItems>
    </cacheField>
    <cacheField name="Profit" numFmtId="0">
      <sharedItems containsSemiMixedTypes="0" containsString="0" containsNumber="1" minValue="90" maxValue="100000" count="212">
        <n v="1800"/>
        <n v="72000"/>
        <n v="18000"/>
        <n v="1440"/>
        <n v="425"/>
        <n v="136"/>
        <n v="8100"/>
        <n v="240"/>
        <n v="3600"/>
        <n v="17640"/>
        <n v="29400"/>
        <n v="540"/>
        <n v="432"/>
        <n v="32400"/>
        <n v="6800"/>
        <n v="7840"/>
        <n v="11900"/>
        <n v="5100"/>
        <n v="3430"/>
        <n v="7000"/>
        <n v="588"/>
        <n v="4000"/>
        <n v="1216"/>
        <n v="170"/>
        <n v="3000"/>
        <n v="9500"/>
        <n v="8000"/>
        <n v="81000"/>
        <n v="4750"/>
        <n v="700"/>
        <n v="3400"/>
        <n v="152"/>
        <n v="40000"/>
        <n v="2125"/>
        <n v="4900"/>
        <n v="3800"/>
        <n v="54000"/>
        <n v="1428"/>
        <n v="490"/>
        <n v="90000"/>
        <n v="5000"/>
        <n v="1512"/>
        <n v="98000"/>
        <n v="1120"/>
        <n v="2280"/>
        <n v="765"/>
        <n v="50000"/>
        <n v="3920"/>
        <n v="36000"/>
        <n v="1020"/>
        <n v="980"/>
        <n v="1296"/>
        <n v="85000"/>
        <n v="850"/>
        <n v="19000"/>
        <n v="1254.4000000000001"/>
        <n v="4050"/>
        <n v="17100"/>
        <n v="23520"/>
        <n v="6300"/>
        <n v="156.80000000000001"/>
        <n v="2000"/>
        <n v="1568"/>
        <n v="5880"/>
        <n v="5700"/>
        <n v="8550"/>
        <n v="12600"/>
        <n v="19600"/>
        <n v="39200"/>
        <n v="4250"/>
        <n v="816"/>
        <n v="70000"/>
        <n v="16000"/>
        <n v="1700"/>
        <n v="1080"/>
        <n v="1600"/>
        <n v="784"/>
        <n v="475"/>
        <n v="8500"/>
        <n v="2975"/>
        <n v="1350"/>
        <n v="3500"/>
        <n v="9000"/>
        <n v="15200"/>
        <n v="1176"/>
        <n v="68000"/>
        <n v="228"/>
        <n v="500"/>
        <n v="912"/>
        <n v="60000"/>
        <n v="1097.6000000000001"/>
        <n v="380"/>
        <n v="3825"/>
        <n v="2700"/>
        <n v="11760"/>
        <n v="7600"/>
        <n v="1088"/>
        <n v="38000"/>
        <n v="57000"/>
        <n v="600"/>
        <n v="760"/>
        <n v="204"/>
        <n v="51000"/>
        <n v="1824"/>
        <n v="22800"/>
        <n v="68600"/>
        <n v="9800"/>
        <n v="2850"/>
        <n v="2352"/>
        <n v="270"/>
        <n v="1960"/>
        <n v="680"/>
        <n v="576"/>
        <n v="15300"/>
        <n v="76000"/>
        <n v="2116.8000000000002"/>
        <n v="612"/>
        <n v="98"/>
        <n v="2375"/>
        <n v="10000"/>
        <n v="144"/>
        <n v="66500"/>
        <n v="470.40000000000003"/>
        <n v="304"/>
        <n v="1470"/>
        <n v="30600"/>
        <n v="510"/>
        <n v="4500"/>
        <n v="2500"/>
        <n v="160"/>
        <n v="28000"/>
        <n v="1275"/>
        <n v="2940"/>
        <n v="1944"/>
        <n v="80000"/>
        <n v="1596"/>
        <n v="90"/>
        <n v="2040"/>
        <n v="58800"/>
        <n v="940.80000000000007"/>
        <n v="85500"/>
        <n v="5950"/>
        <n v="16200"/>
        <n v="25200"/>
        <n v="20000"/>
        <n v="1646.4"/>
        <n v="88200"/>
        <n v="1064"/>
        <n v="705.6"/>
        <n v="720"/>
        <n v="34000"/>
        <n v="95"/>
        <n v="960"/>
        <n v="340"/>
        <n v="456"/>
        <n v="17000"/>
        <n v="255"/>
        <n v="30000"/>
        <n v="882"/>
        <n v="4275"/>
        <n v="34200"/>
        <n v="2160"/>
        <n v="285"/>
        <n v="30400"/>
        <n v="608"/>
        <n v="450"/>
        <n v="8820"/>
        <n v="800"/>
        <n v="1900"/>
        <n v="3150"/>
        <n v="272"/>
        <n v="78400"/>
        <n v="45000"/>
        <n v="1425"/>
        <n v="49000"/>
        <n v="7650"/>
        <n v="235.20000000000002"/>
        <n v="6000"/>
        <n v="10200"/>
        <n v="1836"/>
        <n v="4410"/>
        <n v="15680"/>
        <n v="400"/>
        <n v="10800"/>
        <n v="200"/>
        <n v="630"/>
        <n v="7200"/>
        <n v="190"/>
        <n v="2450"/>
        <n v="1520"/>
        <n v="6860"/>
        <n v="1920"/>
        <n v="11400"/>
        <n v="59500"/>
        <n v="13600"/>
        <n v="100000"/>
        <n v="13720"/>
        <n v="63000"/>
        <n v="544"/>
        <n v="1280"/>
        <n v="648"/>
        <n v="1140"/>
        <n v="12000"/>
        <n v="408"/>
        <n v="627.20000000000005"/>
        <n v="13300"/>
        <n v="360"/>
        <n v="1008"/>
        <n v="864"/>
        <n v="640"/>
        <n v="35280"/>
        <n v="20400"/>
      </sharedItems>
    </cacheField>
  </cacheFields>
  <extLst>
    <ext xmlns:x14="http://schemas.microsoft.com/office/spreadsheetml/2009/9/main" uri="{725AE2AE-9491-48be-B2B4-4EB974FC3084}">
      <x14:pivotCacheDefinition pivotCacheId="1561061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s v="2025-08-22"/>
    <s v="Deepa"/>
    <x v="0"/>
    <x v="0"/>
    <n v="4"/>
    <n v="2500"/>
    <n v="10"/>
    <n v="10000"/>
    <n v="1000"/>
    <x v="0"/>
    <x v="0"/>
  </r>
  <r>
    <n v="1002"/>
    <s v="2025-11-22"/>
    <s v="Naveen"/>
    <x v="0"/>
    <x v="1"/>
    <n v="4"/>
    <n v="1200"/>
    <n v="10"/>
    <n v="4800"/>
    <n v="480"/>
    <x v="0"/>
    <x v="0"/>
  </r>
  <r>
    <n v="1003"/>
    <s v="2025-03-23"/>
    <s v="Suresh"/>
    <x v="0"/>
    <x v="2"/>
    <n v="6"/>
    <n v="500"/>
    <n v="10"/>
    <n v="3000"/>
    <n v="300"/>
    <x v="0"/>
    <x v="0"/>
  </r>
  <r>
    <n v="1004"/>
    <s v="2025-08-31"/>
    <s v="Suresh"/>
    <x v="1"/>
    <x v="3"/>
    <n v="6"/>
    <n v="500"/>
    <n v="15"/>
    <n v="3000"/>
    <n v="450"/>
    <x v="0"/>
    <x v="0"/>
  </r>
  <r>
    <n v="1005"/>
    <s v="2025-12-04"/>
    <s v="Suresh"/>
    <x v="0"/>
    <x v="2"/>
    <n v="6"/>
    <n v="5000"/>
    <n v="15"/>
    <n v="30000"/>
    <n v="4500"/>
    <x v="0"/>
    <x v="0"/>
  </r>
  <r>
    <n v="1006"/>
    <s v="2025-10-09"/>
    <s v="Rahul"/>
    <x v="0"/>
    <x v="2"/>
    <n v="9"/>
    <n v="50000"/>
    <n v="15"/>
    <n v="450000"/>
    <n v="67500"/>
    <x v="0"/>
    <x v="0"/>
  </r>
  <r>
    <n v="1007"/>
    <s v="2025-05-09"/>
    <s v="Deepa"/>
    <x v="1"/>
    <x v="4"/>
    <n v="9"/>
    <n v="500"/>
    <n v="0"/>
    <n v="4500"/>
    <n v="0"/>
    <x v="0"/>
    <x v="0"/>
  </r>
  <r>
    <n v="1008"/>
    <s v="2025-06-19"/>
    <s v="Suresh"/>
    <x v="1"/>
    <x v="3"/>
    <n v="8"/>
    <n v="5000"/>
    <n v="2"/>
    <n v="40000"/>
    <n v="800"/>
    <x v="0"/>
    <x v="0"/>
  </r>
  <r>
    <n v="1009"/>
    <s v="2025-10-01"/>
    <s v="Lakshmi"/>
    <x v="2"/>
    <x v="5"/>
    <n v="2"/>
    <n v="20000"/>
    <n v="5"/>
    <n v="40000"/>
    <n v="2000"/>
    <x v="0"/>
    <x v="0"/>
  </r>
  <r>
    <n v="1010"/>
    <s v="2025-04-21"/>
    <s v="Ravi"/>
    <x v="1"/>
    <x v="6"/>
    <n v="9"/>
    <n v="5000"/>
    <n v="10"/>
    <n v="45000"/>
    <n v="4500"/>
    <x v="0"/>
    <x v="0"/>
  </r>
  <r>
    <n v="1011"/>
    <s v="2025-12-08"/>
    <s v="Ravi"/>
    <x v="0"/>
    <x v="2"/>
    <n v="8"/>
    <n v="50000"/>
    <n v="10"/>
    <n v="400000"/>
    <n v="40000"/>
    <x v="1"/>
    <x v="1"/>
  </r>
  <r>
    <n v="1012"/>
    <s v="2025-08-21"/>
    <s v="Kiran"/>
    <x v="0"/>
    <x v="2"/>
    <n v="9"/>
    <n v="10000"/>
    <n v="0"/>
    <n v="90000"/>
    <n v="0"/>
    <x v="2"/>
    <x v="2"/>
  </r>
  <r>
    <n v="1013"/>
    <s v="2025-03-22"/>
    <s v="Pooja"/>
    <x v="0"/>
    <x v="0"/>
    <n v="10"/>
    <n v="800"/>
    <n v="10"/>
    <n v="8000"/>
    <n v="800"/>
    <x v="3"/>
    <x v="3"/>
  </r>
  <r>
    <n v="1014"/>
    <s v="2025-08-02"/>
    <s v="Pooja"/>
    <x v="0"/>
    <x v="2"/>
    <n v="5"/>
    <n v="500"/>
    <n v="15"/>
    <n v="2500"/>
    <n v="375"/>
    <x v="4"/>
    <x v="4"/>
  </r>
  <r>
    <n v="1015"/>
    <s v="2025-03-22"/>
    <s v="Naveen"/>
    <x v="1"/>
    <x v="3"/>
    <n v="1"/>
    <n v="800"/>
    <n v="15"/>
    <n v="800"/>
    <n v="120"/>
    <x v="5"/>
    <x v="5"/>
  </r>
  <r>
    <n v="1016"/>
    <s v="2025-09-11"/>
    <s v="Ravi"/>
    <x v="1"/>
    <x v="4"/>
    <n v="9"/>
    <n v="5000"/>
    <n v="10"/>
    <n v="45000"/>
    <n v="4500"/>
    <x v="6"/>
    <x v="6"/>
  </r>
  <r>
    <n v="1017"/>
    <s v="2025-12-12"/>
    <s v="Anil"/>
    <x v="1"/>
    <x v="4"/>
    <n v="1"/>
    <n v="1200"/>
    <n v="0"/>
    <n v="1200"/>
    <n v="0"/>
    <x v="7"/>
    <x v="7"/>
  </r>
  <r>
    <n v="1018"/>
    <s v="2025-11-19"/>
    <s v="Deepa"/>
    <x v="1"/>
    <x v="3"/>
    <n v="4"/>
    <n v="5000"/>
    <n v="10"/>
    <n v="20000"/>
    <n v="2000"/>
    <x v="8"/>
    <x v="8"/>
  </r>
  <r>
    <n v="1019"/>
    <s v="2025-10-17"/>
    <s v="Ravi"/>
    <x v="0"/>
    <x v="2"/>
    <n v="9"/>
    <n v="10000"/>
    <n v="2"/>
    <n v="90000"/>
    <n v="1800"/>
    <x v="9"/>
    <x v="9"/>
  </r>
  <r>
    <n v="1020"/>
    <s v="2025-01-31"/>
    <s v="Priya"/>
    <x v="2"/>
    <x v="7"/>
    <n v="3"/>
    <n v="50000"/>
    <n v="2"/>
    <n v="150000"/>
    <n v="3000"/>
    <x v="10"/>
    <x v="10"/>
  </r>
  <r>
    <n v="1021"/>
    <s v="2025-02-02"/>
    <s v="Lakshmi"/>
    <x v="2"/>
    <x v="7"/>
    <n v="6"/>
    <n v="500"/>
    <n v="10"/>
    <n v="3000"/>
    <n v="300"/>
    <x v="11"/>
    <x v="11"/>
  </r>
  <r>
    <n v="1022"/>
    <s v="2025-09-25"/>
    <s v="Pooja"/>
    <x v="1"/>
    <x v="6"/>
    <n v="2"/>
    <n v="1200"/>
    <n v="10"/>
    <n v="2400"/>
    <n v="240"/>
    <x v="12"/>
    <x v="12"/>
  </r>
  <r>
    <n v="1023"/>
    <s v="2025-12-02"/>
    <s v="Deepa"/>
    <x v="2"/>
    <x v="8"/>
    <n v="9"/>
    <n v="20000"/>
    <n v="10"/>
    <n v="180000"/>
    <n v="18000"/>
    <x v="13"/>
    <x v="13"/>
  </r>
  <r>
    <n v="1024"/>
    <s v="2025-03-18"/>
    <s v="Pooja"/>
    <x v="0"/>
    <x v="2"/>
    <n v="8"/>
    <n v="5000"/>
    <n v="15"/>
    <n v="40000"/>
    <n v="6000"/>
    <x v="14"/>
    <x v="14"/>
  </r>
  <r>
    <n v="1025"/>
    <s v="2025-11-20"/>
    <s v="Rahul"/>
    <x v="2"/>
    <x v="8"/>
    <n v="8"/>
    <n v="5000"/>
    <n v="2"/>
    <n v="40000"/>
    <n v="800"/>
    <x v="15"/>
    <x v="15"/>
  </r>
  <r>
    <n v="1026"/>
    <s v="2025-06-25"/>
    <s v="Naveen"/>
    <x v="2"/>
    <x v="7"/>
    <n v="7"/>
    <n v="10000"/>
    <n v="15"/>
    <n v="70000"/>
    <n v="10500"/>
    <x v="16"/>
    <x v="16"/>
  </r>
  <r>
    <n v="1027"/>
    <s v="2025-07-19"/>
    <s v="Lakshmi"/>
    <x v="1"/>
    <x v="6"/>
    <n v="3"/>
    <n v="10000"/>
    <n v="15"/>
    <n v="30000"/>
    <n v="4500"/>
    <x v="17"/>
    <x v="17"/>
  </r>
  <r>
    <n v="1028"/>
    <s v="2025-12-08"/>
    <s v="Suresh"/>
    <x v="0"/>
    <x v="2"/>
    <n v="7"/>
    <n v="2500"/>
    <n v="2"/>
    <n v="17500"/>
    <n v="350"/>
    <x v="18"/>
    <x v="18"/>
  </r>
  <r>
    <n v="1029"/>
    <s v="2025-01-07"/>
    <s v="Ravi"/>
    <x v="2"/>
    <x v="7"/>
    <n v="7"/>
    <n v="5000"/>
    <n v="0"/>
    <n v="35000"/>
    <n v="0"/>
    <x v="19"/>
    <x v="19"/>
  </r>
  <r>
    <n v="1030"/>
    <s v="2025-07-21"/>
    <s v="Suresh"/>
    <x v="1"/>
    <x v="3"/>
    <n v="6"/>
    <n v="500"/>
    <n v="2"/>
    <n v="3000"/>
    <n v="60"/>
    <x v="20"/>
    <x v="20"/>
  </r>
  <r>
    <n v="1031"/>
    <s v="2025-11-02"/>
    <s v="Naveen"/>
    <x v="2"/>
    <x v="5"/>
    <n v="1"/>
    <n v="20000"/>
    <n v="0"/>
    <n v="20000"/>
    <n v="0"/>
    <x v="21"/>
    <x v="21"/>
  </r>
  <r>
    <n v="1032"/>
    <s v="2025-09-10"/>
    <s v="Pooja"/>
    <x v="1"/>
    <x v="6"/>
    <n v="8"/>
    <n v="800"/>
    <n v="5"/>
    <n v="6400"/>
    <n v="320"/>
    <x v="22"/>
    <x v="22"/>
  </r>
  <r>
    <n v="1033"/>
    <s v="2025-09-13"/>
    <s v="Suresh"/>
    <x v="0"/>
    <x v="1"/>
    <n v="2"/>
    <n v="500"/>
    <n v="15"/>
    <n v="1000"/>
    <n v="150"/>
    <x v="23"/>
    <x v="23"/>
  </r>
  <r>
    <n v="1034"/>
    <s v="2025-05-24"/>
    <s v="Lakshmi"/>
    <x v="2"/>
    <x v="5"/>
    <n v="3"/>
    <n v="5000"/>
    <n v="0"/>
    <n v="15000"/>
    <n v="0"/>
    <x v="24"/>
    <x v="24"/>
  </r>
  <r>
    <n v="1035"/>
    <s v="2025-07-06"/>
    <s v="Priya"/>
    <x v="0"/>
    <x v="1"/>
    <n v="10"/>
    <n v="5000"/>
    <n v="5"/>
    <n v="50000"/>
    <n v="2500"/>
    <x v="25"/>
    <x v="25"/>
  </r>
  <r>
    <n v="1036"/>
    <s v="2025-06-03"/>
    <s v="Ravi"/>
    <x v="2"/>
    <x v="5"/>
    <n v="8"/>
    <n v="5000"/>
    <n v="0"/>
    <n v="40000"/>
    <n v="0"/>
    <x v="26"/>
    <x v="26"/>
  </r>
  <r>
    <n v="1037"/>
    <s v="2025-07-16"/>
    <s v="Anil"/>
    <x v="2"/>
    <x v="8"/>
    <n v="4"/>
    <n v="5000"/>
    <n v="10"/>
    <n v="20000"/>
    <n v="2000"/>
    <x v="8"/>
    <x v="8"/>
  </r>
  <r>
    <n v="1038"/>
    <s v="2025-08-05"/>
    <s v="Anil"/>
    <x v="2"/>
    <x v="8"/>
    <n v="9"/>
    <n v="50000"/>
    <n v="10"/>
    <n v="450000"/>
    <n v="45000"/>
    <x v="27"/>
    <x v="27"/>
  </r>
  <r>
    <n v="1039"/>
    <s v="2025-12-03"/>
    <s v="Naveen"/>
    <x v="2"/>
    <x v="5"/>
    <n v="1"/>
    <n v="50000"/>
    <n v="5"/>
    <n v="50000"/>
    <n v="2500"/>
    <x v="25"/>
    <x v="25"/>
  </r>
  <r>
    <n v="1040"/>
    <s v="2025-09-13"/>
    <s v="Lakshmi"/>
    <x v="0"/>
    <x v="0"/>
    <n v="10"/>
    <n v="2500"/>
    <n v="5"/>
    <n v="25000"/>
    <n v="1250"/>
    <x v="28"/>
    <x v="28"/>
  </r>
  <r>
    <n v="1041"/>
    <s v="2025-10-19"/>
    <s v="Rahul"/>
    <x v="0"/>
    <x v="1"/>
    <n v="7"/>
    <n v="500"/>
    <n v="0"/>
    <n v="3500"/>
    <n v="0"/>
    <x v="29"/>
    <x v="29"/>
  </r>
  <r>
    <n v="1042"/>
    <s v="2025-10-25"/>
    <s v="Rahul"/>
    <x v="1"/>
    <x v="3"/>
    <n v="4"/>
    <n v="5000"/>
    <n v="15"/>
    <n v="20000"/>
    <n v="3000"/>
    <x v="30"/>
    <x v="30"/>
  </r>
  <r>
    <n v="1043"/>
    <s v="2025-11-01"/>
    <s v="Priya"/>
    <x v="2"/>
    <x v="7"/>
    <n v="1"/>
    <n v="800"/>
    <n v="5"/>
    <n v="800"/>
    <n v="40"/>
    <x v="31"/>
    <x v="31"/>
  </r>
  <r>
    <n v="1044"/>
    <s v="2025-08-05"/>
    <s v="Pooja"/>
    <x v="2"/>
    <x v="7"/>
    <n v="7"/>
    <n v="500"/>
    <n v="0"/>
    <n v="3500"/>
    <n v="0"/>
    <x v="29"/>
    <x v="29"/>
  </r>
  <r>
    <n v="1045"/>
    <s v="2025-03-13"/>
    <s v="Rahul"/>
    <x v="1"/>
    <x v="6"/>
    <n v="1"/>
    <n v="800"/>
    <n v="15"/>
    <n v="800"/>
    <n v="120"/>
    <x v="5"/>
    <x v="5"/>
  </r>
  <r>
    <n v="1046"/>
    <s v="2025-01-09"/>
    <s v="Suresh"/>
    <x v="0"/>
    <x v="1"/>
    <n v="5"/>
    <n v="5000"/>
    <n v="5"/>
    <n v="25000"/>
    <n v="1250"/>
    <x v="28"/>
    <x v="28"/>
  </r>
  <r>
    <n v="1047"/>
    <s v="2025-03-30"/>
    <s v="Ravi"/>
    <x v="2"/>
    <x v="7"/>
    <n v="10"/>
    <n v="20000"/>
    <n v="0"/>
    <n v="200000"/>
    <n v="0"/>
    <x v="32"/>
    <x v="32"/>
  </r>
  <r>
    <n v="1048"/>
    <s v="2025-09-06"/>
    <s v="Lakshmi"/>
    <x v="1"/>
    <x v="3"/>
    <n v="5"/>
    <n v="2500"/>
    <n v="15"/>
    <n v="12500"/>
    <n v="1875"/>
    <x v="33"/>
    <x v="33"/>
  </r>
  <r>
    <n v="1049"/>
    <s v="2025-05-31"/>
    <s v="Naveen"/>
    <x v="1"/>
    <x v="3"/>
    <n v="10"/>
    <n v="2500"/>
    <n v="2"/>
    <n v="25000"/>
    <n v="500"/>
    <x v="34"/>
    <x v="34"/>
  </r>
  <r>
    <n v="1050"/>
    <s v="2025-08-28"/>
    <s v="Rahul"/>
    <x v="2"/>
    <x v="5"/>
    <n v="4"/>
    <n v="5000"/>
    <n v="5"/>
    <n v="20000"/>
    <n v="1000"/>
    <x v="35"/>
    <x v="35"/>
  </r>
  <r>
    <n v="1051"/>
    <s v="2025-02-17"/>
    <s v="Kiran"/>
    <x v="0"/>
    <x v="0"/>
    <n v="6"/>
    <n v="50000"/>
    <n v="10"/>
    <n v="300000"/>
    <n v="30000"/>
    <x v="36"/>
    <x v="36"/>
  </r>
  <r>
    <n v="1052"/>
    <s v="2025-05-20"/>
    <s v="Lakshmi"/>
    <x v="2"/>
    <x v="8"/>
    <n v="7"/>
    <n v="1200"/>
    <n v="15"/>
    <n v="8400"/>
    <n v="1260"/>
    <x v="37"/>
    <x v="37"/>
  </r>
  <r>
    <n v="1053"/>
    <s v="2025-07-17"/>
    <s v="Lakshmi"/>
    <x v="1"/>
    <x v="3"/>
    <n v="9"/>
    <n v="50000"/>
    <n v="10"/>
    <n v="450000"/>
    <n v="45000"/>
    <x v="27"/>
    <x v="27"/>
  </r>
  <r>
    <n v="1054"/>
    <s v="2025-09-30"/>
    <s v="Kiran"/>
    <x v="2"/>
    <x v="8"/>
    <n v="1"/>
    <n v="2500"/>
    <n v="2"/>
    <n v="2500"/>
    <n v="50"/>
    <x v="38"/>
    <x v="38"/>
  </r>
  <r>
    <n v="1055"/>
    <s v="2025-07-10"/>
    <s v="Naveen"/>
    <x v="0"/>
    <x v="1"/>
    <n v="9"/>
    <n v="50000"/>
    <n v="0"/>
    <n v="450000"/>
    <n v="0"/>
    <x v="39"/>
    <x v="39"/>
  </r>
  <r>
    <n v="1056"/>
    <s v="2025-11-11"/>
    <s v="Rahul"/>
    <x v="2"/>
    <x v="5"/>
    <n v="5"/>
    <n v="5000"/>
    <n v="0"/>
    <n v="25000"/>
    <n v="0"/>
    <x v="40"/>
    <x v="40"/>
  </r>
  <r>
    <n v="1057"/>
    <s v="2025-03-29"/>
    <s v="Kiran"/>
    <x v="1"/>
    <x v="4"/>
    <n v="7"/>
    <n v="1200"/>
    <n v="10"/>
    <n v="8400"/>
    <n v="840"/>
    <x v="41"/>
    <x v="41"/>
  </r>
  <r>
    <n v="1058"/>
    <s v="2025-06-15"/>
    <s v="Kiran"/>
    <x v="2"/>
    <x v="8"/>
    <n v="10"/>
    <n v="50000"/>
    <n v="2"/>
    <n v="500000"/>
    <n v="10000"/>
    <x v="42"/>
    <x v="42"/>
  </r>
  <r>
    <n v="1059"/>
    <s v="2025-04-28"/>
    <s v="Suresh"/>
    <x v="2"/>
    <x v="8"/>
    <n v="7"/>
    <n v="800"/>
    <n v="0"/>
    <n v="5600"/>
    <n v="0"/>
    <x v="43"/>
    <x v="43"/>
  </r>
  <r>
    <n v="1060"/>
    <s v="2025-04-16"/>
    <s v="Suresh"/>
    <x v="1"/>
    <x v="4"/>
    <n v="10"/>
    <n v="1200"/>
    <n v="5"/>
    <n v="12000"/>
    <n v="600"/>
    <x v="44"/>
    <x v="44"/>
  </r>
  <r>
    <n v="1061"/>
    <s v="2025-07-07"/>
    <s v="Suresh"/>
    <x v="0"/>
    <x v="1"/>
    <n v="9"/>
    <n v="500"/>
    <n v="15"/>
    <n v="4500"/>
    <n v="675"/>
    <x v="45"/>
    <x v="45"/>
  </r>
  <r>
    <n v="1062"/>
    <s v="2025-03-14"/>
    <s v="Pooja"/>
    <x v="2"/>
    <x v="5"/>
    <n v="5"/>
    <n v="50000"/>
    <n v="0"/>
    <n v="250000"/>
    <n v="0"/>
    <x v="46"/>
    <x v="46"/>
  </r>
  <r>
    <n v="1063"/>
    <s v="2025-02-26"/>
    <s v="Pooja"/>
    <x v="0"/>
    <x v="0"/>
    <n v="1"/>
    <n v="800"/>
    <n v="15"/>
    <n v="800"/>
    <n v="120"/>
    <x v="5"/>
    <x v="5"/>
  </r>
  <r>
    <n v="1064"/>
    <s v="2025-04-30"/>
    <s v="Deepa"/>
    <x v="0"/>
    <x v="0"/>
    <n v="4"/>
    <n v="5000"/>
    <n v="2"/>
    <n v="20000"/>
    <n v="400"/>
    <x v="47"/>
    <x v="47"/>
  </r>
  <r>
    <n v="1065"/>
    <s v="2025-02-09"/>
    <s v="Rahul"/>
    <x v="0"/>
    <x v="2"/>
    <n v="5"/>
    <n v="10000"/>
    <n v="5"/>
    <n v="50000"/>
    <n v="2500"/>
    <x v="25"/>
    <x v="25"/>
  </r>
  <r>
    <n v="1066"/>
    <s v="2025-04-23"/>
    <s v="Anil"/>
    <x v="0"/>
    <x v="0"/>
    <n v="10"/>
    <n v="20000"/>
    <n v="10"/>
    <n v="200000"/>
    <n v="20000"/>
    <x v="48"/>
    <x v="48"/>
  </r>
  <r>
    <n v="1067"/>
    <s v="2025-07-09"/>
    <s v="Lakshmi"/>
    <x v="2"/>
    <x v="8"/>
    <n v="5"/>
    <n v="1200"/>
    <n v="15"/>
    <n v="6000"/>
    <n v="900"/>
    <x v="49"/>
    <x v="49"/>
  </r>
  <r>
    <n v="1068"/>
    <s v="2025-12-31"/>
    <s v="Suresh"/>
    <x v="2"/>
    <x v="7"/>
    <n v="1"/>
    <n v="5000"/>
    <n v="2"/>
    <n v="5000"/>
    <n v="100"/>
    <x v="50"/>
    <x v="50"/>
  </r>
  <r>
    <n v="1069"/>
    <s v="2025-07-25"/>
    <s v="Priya"/>
    <x v="0"/>
    <x v="0"/>
    <n v="4"/>
    <n v="10000"/>
    <n v="15"/>
    <n v="40000"/>
    <n v="6000"/>
    <x v="14"/>
    <x v="14"/>
  </r>
  <r>
    <n v="1070"/>
    <s v="2025-03-04"/>
    <s v="Pooja"/>
    <x v="0"/>
    <x v="0"/>
    <n v="5"/>
    <n v="10000"/>
    <n v="5"/>
    <n v="50000"/>
    <n v="2500"/>
    <x v="25"/>
    <x v="25"/>
  </r>
  <r>
    <n v="1071"/>
    <s v="2025-06-02"/>
    <s v="Priya"/>
    <x v="0"/>
    <x v="1"/>
    <n v="6"/>
    <n v="1200"/>
    <n v="10"/>
    <n v="7200"/>
    <n v="720"/>
    <x v="51"/>
    <x v="51"/>
  </r>
  <r>
    <n v="1072"/>
    <s v="2025-11-12"/>
    <s v="Naveen"/>
    <x v="2"/>
    <x v="8"/>
    <n v="2"/>
    <n v="20000"/>
    <n v="2"/>
    <n v="40000"/>
    <n v="800"/>
    <x v="15"/>
    <x v="15"/>
  </r>
  <r>
    <n v="1073"/>
    <s v="2025-07-20"/>
    <s v="Suresh"/>
    <x v="2"/>
    <x v="5"/>
    <n v="10"/>
    <n v="50000"/>
    <n v="15"/>
    <n v="500000"/>
    <n v="75000"/>
    <x v="52"/>
    <x v="52"/>
  </r>
  <r>
    <n v="1074"/>
    <s v="2025-04-24"/>
    <s v="Kiran"/>
    <x v="2"/>
    <x v="8"/>
    <n v="10"/>
    <n v="500"/>
    <n v="15"/>
    <n v="5000"/>
    <n v="750"/>
    <x v="53"/>
    <x v="53"/>
  </r>
  <r>
    <n v="1075"/>
    <s v="2025-05-31"/>
    <s v="Deepa"/>
    <x v="0"/>
    <x v="1"/>
    <n v="8"/>
    <n v="2500"/>
    <n v="15"/>
    <n v="20000"/>
    <n v="3000"/>
    <x v="30"/>
    <x v="30"/>
  </r>
  <r>
    <n v="1076"/>
    <s v="2025-03-21"/>
    <s v="Lakshmi"/>
    <x v="1"/>
    <x v="4"/>
    <n v="5"/>
    <n v="20000"/>
    <n v="5"/>
    <n v="100000"/>
    <n v="5000"/>
    <x v="54"/>
    <x v="54"/>
  </r>
  <r>
    <n v="1077"/>
    <s v="2025-01-25"/>
    <s v="Kiran"/>
    <x v="1"/>
    <x v="3"/>
    <n v="8"/>
    <n v="800"/>
    <n v="2"/>
    <n v="6400"/>
    <n v="128"/>
    <x v="55"/>
    <x v="55"/>
  </r>
  <r>
    <n v="1078"/>
    <s v="2025-07-09"/>
    <s v="Priya"/>
    <x v="1"/>
    <x v="3"/>
    <n v="9"/>
    <n v="2500"/>
    <n v="10"/>
    <n v="22500"/>
    <n v="2250"/>
    <x v="56"/>
    <x v="56"/>
  </r>
  <r>
    <n v="1079"/>
    <s v="2025-11-11"/>
    <s v="Kiran"/>
    <x v="2"/>
    <x v="5"/>
    <n v="9"/>
    <n v="10000"/>
    <n v="5"/>
    <n v="90000"/>
    <n v="4500"/>
    <x v="57"/>
    <x v="57"/>
  </r>
  <r>
    <n v="1080"/>
    <s v="2025-04-19"/>
    <s v="Ravi"/>
    <x v="1"/>
    <x v="3"/>
    <n v="6"/>
    <n v="20000"/>
    <n v="2"/>
    <n v="120000"/>
    <n v="2400"/>
    <x v="58"/>
    <x v="58"/>
  </r>
  <r>
    <n v="1081"/>
    <s v="2025-01-25"/>
    <s v="Naveen"/>
    <x v="1"/>
    <x v="6"/>
    <n v="7"/>
    <n v="5000"/>
    <n v="10"/>
    <n v="35000"/>
    <n v="3500"/>
    <x v="59"/>
    <x v="59"/>
  </r>
  <r>
    <n v="1082"/>
    <s v="2025-03-06"/>
    <s v="Priya"/>
    <x v="2"/>
    <x v="8"/>
    <n v="10"/>
    <n v="5000"/>
    <n v="5"/>
    <n v="50000"/>
    <n v="2500"/>
    <x v="25"/>
    <x v="25"/>
  </r>
  <r>
    <n v="1083"/>
    <s v="2025-06-11"/>
    <s v="Kiran"/>
    <x v="2"/>
    <x v="5"/>
    <n v="9"/>
    <n v="500"/>
    <n v="15"/>
    <n v="4500"/>
    <n v="675"/>
    <x v="45"/>
    <x v="45"/>
  </r>
  <r>
    <n v="1084"/>
    <s v="2025-05-31"/>
    <s v="Naveen"/>
    <x v="0"/>
    <x v="2"/>
    <n v="1"/>
    <n v="800"/>
    <n v="2"/>
    <n v="800"/>
    <n v="16"/>
    <x v="60"/>
    <x v="60"/>
  </r>
  <r>
    <n v="1085"/>
    <s v="2025-05-22"/>
    <s v="Priya"/>
    <x v="1"/>
    <x v="4"/>
    <n v="7"/>
    <n v="5000"/>
    <n v="10"/>
    <n v="35000"/>
    <n v="3500"/>
    <x v="59"/>
    <x v="59"/>
  </r>
  <r>
    <n v="1086"/>
    <s v="2025-01-02"/>
    <s v="Priya"/>
    <x v="0"/>
    <x v="0"/>
    <n v="4"/>
    <n v="2500"/>
    <n v="0"/>
    <n v="10000"/>
    <n v="0"/>
    <x v="61"/>
    <x v="61"/>
  </r>
  <r>
    <n v="1087"/>
    <s v="2025-01-05"/>
    <s v="Naveen"/>
    <x v="2"/>
    <x v="8"/>
    <n v="10"/>
    <n v="800"/>
    <n v="2"/>
    <n v="8000"/>
    <n v="160"/>
    <x v="62"/>
    <x v="62"/>
  </r>
  <r>
    <n v="1088"/>
    <s v="2025-07-28"/>
    <s v="Priya"/>
    <x v="2"/>
    <x v="8"/>
    <n v="3"/>
    <n v="10000"/>
    <n v="2"/>
    <n v="30000"/>
    <n v="600"/>
    <x v="63"/>
    <x v="63"/>
  </r>
  <r>
    <n v="1089"/>
    <s v="2025-07-02"/>
    <s v="Deepa"/>
    <x v="2"/>
    <x v="8"/>
    <n v="6"/>
    <n v="5000"/>
    <n v="5"/>
    <n v="30000"/>
    <n v="1500"/>
    <x v="64"/>
    <x v="64"/>
  </r>
  <r>
    <n v="1090"/>
    <s v="2025-02-25"/>
    <s v="Suresh"/>
    <x v="0"/>
    <x v="1"/>
    <n v="9"/>
    <n v="5000"/>
    <n v="5"/>
    <n v="45000"/>
    <n v="2250"/>
    <x v="65"/>
    <x v="65"/>
  </r>
  <r>
    <n v="1091"/>
    <s v="2025-06-18"/>
    <s v="Anil"/>
    <x v="0"/>
    <x v="0"/>
    <n v="7"/>
    <n v="10000"/>
    <n v="10"/>
    <n v="70000"/>
    <n v="7000"/>
    <x v="66"/>
    <x v="66"/>
  </r>
  <r>
    <n v="1092"/>
    <s v="2025-04-07"/>
    <s v="Deepa"/>
    <x v="0"/>
    <x v="1"/>
    <n v="5"/>
    <n v="20000"/>
    <n v="2"/>
    <n v="100000"/>
    <n v="2000"/>
    <x v="67"/>
    <x v="67"/>
  </r>
  <r>
    <n v="1093"/>
    <s v="2025-10-29"/>
    <s v="Deepa"/>
    <x v="1"/>
    <x v="3"/>
    <n v="1"/>
    <n v="2500"/>
    <n v="2"/>
    <n v="2500"/>
    <n v="50"/>
    <x v="38"/>
    <x v="38"/>
  </r>
  <r>
    <n v="1094"/>
    <s v="2025-10-19"/>
    <s v="Pooja"/>
    <x v="1"/>
    <x v="4"/>
    <n v="4"/>
    <n v="50000"/>
    <n v="2"/>
    <n v="200000"/>
    <n v="4000"/>
    <x v="68"/>
    <x v="68"/>
  </r>
  <r>
    <n v="1095"/>
    <s v="2025-10-25"/>
    <s v="Kiran"/>
    <x v="1"/>
    <x v="3"/>
    <n v="10"/>
    <n v="2500"/>
    <n v="15"/>
    <n v="25000"/>
    <n v="3750"/>
    <x v="69"/>
    <x v="69"/>
  </r>
  <r>
    <n v="1096"/>
    <s v="2025-05-25"/>
    <s v="Kiran"/>
    <x v="2"/>
    <x v="5"/>
    <n v="6"/>
    <n v="800"/>
    <n v="15"/>
    <n v="4800"/>
    <n v="720"/>
    <x v="70"/>
    <x v="70"/>
  </r>
  <r>
    <n v="1097"/>
    <s v="2025-11-21"/>
    <s v="Anil"/>
    <x v="2"/>
    <x v="5"/>
    <n v="7"/>
    <n v="50000"/>
    <n v="0"/>
    <n v="350000"/>
    <n v="0"/>
    <x v="71"/>
    <x v="71"/>
  </r>
  <r>
    <n v="1098"/>
    <s v="2025-12-12"/>
    <s v="Deepa"/>
    <x v="2"/>
    <x v="8"/>
    <n v="4"/>
    <n v="20000"/>
    <n v="0"/>
    <n v="80000"/>
    <n v="0"/>
    <x v="72"/>
    <x v="72"/>
  </r>
  <r>
    <n v="1099"/>
    <s v="2025-04-29"/>
    <s v="Pooja"/>
    <x v="2"/>
    <x v="7"/>
    <n v="4"/>
    <n v="2500"/>
    <n v="15"/>
    <n v="10000"/>
    <n v="1500"/>
    <x v="73"/>
    <x v="73"/>
  </r>
  <r>
    <n v="1100"/>
    <s v="2025-10-25"/>
    <s v="Kiran"/>
    <x v="1"/>
    <x v="3"/>
    <n v="5"/>
    <n v="1200"/>
    <n v="10"/>
    <n v="6000"/>
    <n v="600"/>
    <x v="74"/>
    <x v="74"/>
  </r>
  <r>
    <n v="1101"/>
    <s v="2025-10-24"/>
    <s v="Naveen"/>
    <x v="2"/>
    <x v="8"/>
    <n v="10"/>
    <n v="800"/>
    <n v="0"/>
    <n v="8000"/>
    <n v="0"/>
    <x v="75"/>
    <x v="75"/>
  </r>
  <r>
    <n v="1102"/>
    <s v="2025-05-17"/>
    <s v="Priya"/>
    <x v="0"/>
    <x v="1"/>
    <n v="5"/>
    <n v="800"/>
    <n v="2"/>
    <n v="4000"/>
    <n v="80"/>
    <x v="76"/>
    <x v="76"/>
  </r>
  <r>
    <n v="1103"/>
    <s v="2025-09-29"/>
    <s v="Naveen"/>
    <x v="1"/>
    <x v="6"/>
    <n v="1"/>
    <n v="2500"/>
    <n v="5"/>
    <n v="2500"/>
    <n v="125"/>
    <x v="77"/>
    <x v="77"/>
  </r>
  <r>
    <n v="1104"/>
    <s v="2025-11-16"/>
    <s v="Priya"/>
    <x v="0"/>
    <x v="1"/>
    <n v="1"/>
    <n v="50000"/>
    <n v="15"/>
    <n v="50000"/>
    <n v="7500"/>
    <x v="78"/>
    <x v="78"/>
  </r>
  <r>
    <n v="1105"/>
    <s v="2025-01-13"/>
    <s v="Suresh"/>
    <x v="1"/>
    <x v="4"/>
    <n v="7"/>
    <n v="2500"/>
    <n v="15"/>
    <n v="17500"/>
    <n v="2625"/>
    <x v="79"/>
    <x v="79"/>
  </r>
  <r>
    <n v="1106"/>
    <s v="2025-06-05"/>
    <s v="Rahul"/>
    <x v="1"/>
    <x v="3"/>
    <n v="3"/>
    <n v="2500"/>
    <n v="10"/>
    <n v="7500"/>
    <n v="750"/>
    <x v="80"/>
    <x v="80"/>
  </r>
  <r>
    <n v="1107"/>
    <s v="2025-01-15"/>
    <s v="Priya"/>
    <x v="0"/>
    <x v="1"/>
    <n v="9"/>
    <n v="5000"/>
    <n v="5"/>
    <n v="45000"/>
    <n v="2250"/>
    <x v="65"/>
    <x v="65"/>
  </r>
  <r>
    <n v="1108"/>
    <s v="2025-03-27"/>
    <s v="Deepa"/>
    <x v="1"/>
    <x v="4"/>
    <n v="7"/>
    <n v="2500"/>
    <n v="0"/>
    <n v="17500"/>
    <n v="0"/>
    <x v="81"/>
    <x v="81"/>
  </r>
  <r>
    <n v="1109"/>
    <s v="2025-05-05"/>
    <s v="Lakshmi"/>
    <x v="2"/>
    <x v="7"/>
    <n v="9"/>
    <n v="50000"/>
    <n v="0"/>
    <n v="450000"/>
    <n v="0"/>
    <x v="39"/>
    <x v="39"/>
  </r>
  <r>
    <n v="1110"/>
    <s v="2025-11-24"/>
    <s v="Priya"/>
    <x v="1"/>
    <x v="4"/>
    <n v="1"/>
    <n v="20000"/>
    <n v="5"/>
    <n v="20000"/>
    <n v="1000"/>
    <x v="35"/>
    <x v="35"/>
  </r>
  <r>
    <n v="1111"/>
    <s v="2025-01-25"/>
    <s v="Anil"/>
    <x v="0"/>
    <x v="2"/>
    <n v="1"/>
    <n v="10000"/>
    <n v="0"/>
    <n v="10000"/>
    <n v="0"/>
    <x v="61"/>
    <x v="61"/>
  </r>
  <r>
    <n v="1112"/>
    <s v="2025-05-20"/>
    <s v="Rahul"/>
    <x v="1"/>
    <x v="4"/>
    <n v="7"/>
    <n v="5000"/>
    <n v="0"/>
    <n v="35000"/>
    <n v="0"/>
    <x v="19"/>
    <x v="19"/>
  </r>
  <r>
    <n v="1113"/>
    <s v="2025-12-15"/>
    <s v="Priya"/>
    <x v="2"/>
    <x v="8"/>
    <n v="10"/>
    <n v="5000"/>
    <n v="15"/>
    <n v="50000"/>
    <n v="7500"/>
    <x v="78"/>
    <x v="78"/>
  </r>
  <r>
    <n v="1114"/>
    <s v="2025-10-14"/>
    <s v="Naveen"/>
    <x v="1"/>
    <x v="3"/>
    <n v="8"/>
    <n v="2500"/>
    <n v="10"/>
    <n v="20000"/>
    <n v="2000"/>
    <x v="8"/>
    <x v="8"/>
  </r>
  <r>
    <n v="1115"/>
    <s v="2025-07-01"/>
    <s v="Kiran"/>
    <x v="0"/>
    <x v="2"/>
    <n v="5"/>
    <n v="10000"/>
    <n v="10"/>
    <n v="50000"/>
    <n v="5000"/>
    <x v="82"/>
    <x v="82"/>
  </r>
  <r>
    <n v="1116"/>
    <s v="2025-07-09"/>
    <s v="Rahul"/>
    <x v="0"/>
    <x v="1"/>
    <n v="8"/>
    <n v="10000"/>
    <n v="5"/>
    <n v="80000"/>
    <n v="4000"/>
    <x v="83"/>
    <x v="83"/>
  </r>
  <r>
    <n v="1117"/>
    <s v="2025-07-29"/>
    <s v="Naveen"/>
    <x v="2"/>
    <x v="8"/>
    <n v="5"/>
    <n v="20000"/>
    <n v="2"/>
    <n v="100000"/>
    <n v="2000"/>
    <x v="67"/>
    <x v="67"/>
  </r>
  <r>
    <n v="1118"/>
    <s v="2025-11-05"/>
    <s v="Pooja"/>
    <x v="0"/>
    <x v="1"/>
    <n v="6"/>
    <n v="500"/>
    <n v="2"/>
    <n v="3000"/>
    <n v="60"/>
    <x v="20"/>
    <x v="20"/>
  </r>
  <r>
    <n v="1119"/>
    <s v="2025-11-09"/>
    <s v="Deepa"/>
    <x v="1"/>
    <x v="6"/>
    <n v="5"/>
    <n v="1200"/>
    <n v="2"/>
    <n v="6000"/>
    <n v="120"/>
    <x v="84"/>
    <x v="84"/>
  </r>
  <r>
    <n v="1120"/>
    <s v="2025-06-08"/>
    <s v="Anil"/>
    <x v="2"/>
    <x v="5"/>
    <n v="8"/>
    <n v="50000"/>
    <n v="15"/>
    <n v="400000"/>
    <n v="60000"/>
    <x v="85"/>
    <x v="85"/>
  </r>
  <r>
    <n v="1121"/>
    <s v="2025-10-25"/>
    <s v="Lakshmi"/>
    <x v="1"/>
    <x v="3"/>
    <n v="4"/>
    <n v="5000"/>
    <n v="10"/>
    <n v="20000"/>
    <n v="2000"/>
    <x v="8"/>
    <x v="8"/>
  </r>
  <r>
    <n v="1122"/>
    <s v="2025-07-28"/>
    <s v="Suresh"/>
    <x v="0"/>
    <x v="2"/>
    <n v="1"/>
    <n v="1200"/>
    <n v="5"/>
    <n v="1200"/>
    <n v="60"/>
    <x v="86"/>
    <x v="86"/>
  </r>
  <r>
    <n v="1123"/>
    <s v="2025-02-07"/>
    <s v="Lakshmi"/>
    <x v="1"/>
    <x v="6"/>
    <n v="1"/>
    <n v="2500"/>
    <n v="0"/>
    <n v="2500"/>
    <n v="0"/>
    <x v="87"/>
    <x v="87"/>
  </r>
  <r>
    <n v="1124"/>
    <s v="2025-01-16"/>
    <s v="Pooja"/>
    <x v="0"/>
    <x v="0"/>
    <n v="2"/>
    <n v="2500"/>
    <n v="15"/>
    <n v="5000"/>
    <n v="750"/>
    <x v="53"/>
    <x v="53"/>
  </r>
  <r>
    <n v="1125"/>
    <s v="2025-08-02"/>
    <s v="Suresh"/>
    <x v="2"/>
    <x v="8"/>
    <n v="8"/>
    <n v="2500"/>
    <n v="0"/>
    <n v="20000"/>
    <n v="0"/>
    <x v="21"/>
    <x v="21"/>
  </r>
  <r>
    <n v="1126"/>
    <s v="2025-11-07"/>
    <s v="Lakshmi"/>
    <x v="1"/>
    <x v="4"/>
    <n v="2"/>
    <n v="20000"/>
    <n v="0"/>
    <n v="40000"/>
    <n v="0"/>
    <x v="26"/>
    <x v="26"/>
  </r>
  <r>
    <n v="1127"/>
    <s v="2025-07-23"/>
    <s v="Anil"/>
    <x v="1"/>
    <x v="3"/>
    <n v="2"/>
    <n v="10000"/>
    <n v="0"/>
    <n v="20000"/>
    <n v="0"/>
    <x v="21"/>
    <x v="21"/>
  </r>
  <r>
    <n v="1128"/>
    <s v="2025-05-07"/>
    <s v="Priya"/>
    <x v="1"/>
    <x v="4"/>
    <n v="4"/>
    <n v="1200"/>
    <n v="5"/>
    <n v="4800"/>
    <n v="240"/>
    <x v="88"/>
    <x v="88"/>
  </r>
  <r>
    <n v="1129"/>
    <s v="2025-12-08"/>
    <s v="Priya"/>
    <x v="0"/>
    <x v="0"/>
    <n v="6"/>
    <n v="50000"/>
    <n v="0"/>
    <n v="300000"/>
    <n v="0"/>
    <x v="89"/>
    <x v="89"/>
  </r>
  <r>
    <n v="1130"/>
    <s v="2025-07-31"/>
    <s v="Kiran"/>
    <x v="0"/>
    <x v="0"/>
    <n v="7"/>
    <n v="1200"/>
    <n v="10"/>
    <n v="8400"/>
    <n v="840"/>
    <x v="41"/>
    <x v="41"/>
  </r>
  <r>
    <n v="1131"/>
    <s v="2025-03-04"/>
    <s v="Naveen"/>
    <x v="0"/>
    <x v="2"/>
    <n v="7"/>
    <n v="800"/>
    <n v="2"/>
    <n v="5600"/>
    <n v="112"/>
    <x v="90"/>
    <x v="90"/>
  </r>
  <r>
    <n v="1132"/>
    <s v="2025-08-30"/>
    <s v="Anil"/>
    <x v="1"/>
    <x v="3"/>
    <n v="4"/>
    <n v="500"/>
    <n v="5"/>
    <n v="2000"/>
    <n v="100"/>
    <x v="91"/>
    <x v="91"/>
  </r>
  <r>
    <n v="1133"/>
    <s v="2025-03-24"/>
    <s v="Naveen"/>
    <x v="0"/>
    <x v="0"/>
    <n v="9"/>
    <n v="2500"/>
    <n v="15"/>
    <n v="22500"/>
    <n v="3375"/>
    <x v="92"/>
    <x v="92"/>
  </r>
  <r>
    <n v="1134"/>
    <s v="2025-03-21"/>
    <s v="Naveen"/>
    <x v="0"/>
    <x v="1"/>
    <n v="3"/>
    <n v="50000"/>
    <n v="2"/>
    <n v="150000"/>
    <n v="3000"/>
    <x v="10"/>
    <x v="10"/>
  </r>
  <r>
    <n v="1135"/>
    <s v="2025-09-08"/>
    <s v="Deepa"/>
    <x v="1"/>
    <x v="3"/>
    <n v="10"/>
    <n v="2500"/>
    <n v="15"/>
    <n v="25000"/>
    <n v="3750"/>
    <x v="69"/>
    <x v="69"/>
  </r>
  <r>
    <n v="1136"/>
    <s v="2025-03-10"/>
    <s v="Priya"/>
    <x v="1"/>
    <x v="4"/>
    <n v="3"/>
    <n v="5000"/>
    <n v="10"/>
    <n v="15000"/>
    <n v="1500"/>
    <x v="93"/>
    <x v="93"/>
  </r>
  <r>
    <n v="1137"/>
    <s v="2025-10-20"/>
    <s v="Rahul"/>
    <x v="0"/>
    <x v="1"/>
    <n v="3"/>
    <n v="2500"/>
    <n v="10"/>
    <n v="7500"/>
    <n v="750"/>
    <x v="80"/>
    <x v="80"/>
  </r>
  <r>
    <n v="1138"/>
    <s v="2025-12-17"/>
    <s v="Priya"/>
    <x v="1"/>
    <x v="6"/>
    <n v="6"/>
    <n v="10000"/>
    <n v="2"/>
    <n v="60000"/>
    <n v="1200"/>
    <x v="94"/>
    <x v="94"/>
  </r>
  <r>
    <n v="1139"/>
    <s v="2025-04-06"/>
    <s v="Naveen"/>
    <x v="2"/>
    <x v="8"/>
    <n v="10"/>
    <n v="10000"/>
    <n v="5"/>
    <n v="100000"/>
    <n v="5000"/>
    <x v="54"/>
    <x v="54"/>
  </r>
  <r>
    <n v="1140"/>
    <s v="2025-07-08"/>
    <s v="Deepa"/>
    <x v="0"/>
    <x v="1"/>
    <n v="4"/>
    <n v="10000"/>
    <n v="5"/>
    <n v="40000"/>
    <n v="2000"/>
    <x v="95"/>
    <x v="95"/>
  </r>
  <r>
    <n v="1141"/>
    <s v="2025-06-14"/>
    <s v="Lakshmi"/>
    <x v="2"/>
    <x v="7"/>
    <n v="8"/>
    <n v="800"/>
    <n v="15"/>
    <n v="6400"/>
    <n v="960"/>
    <x v="96"/>
    <x v="96"/>
  </r>
  <r>
    <n v="1142"/>
    <s v="2025-09-25"/>
    <s v="Deepa"/>
    <x v="2"/>
    <x v="7"/>
    <n v="10"/>
    <n v="20000"/>
    <n v="5"/>
    <n v="200000"/>
    <n v="10000"/>
    <x v="97"/>
    <x v="97"/>
  </r>
  <r>
    <n v="1143"/>
    <s v="2025-03-04"/>
    <s v="Anil"/>
    <x v="0"/>
    <x v="0"/>
    <n v="6"/>
    <n v="50000"/>
    <n v="5"/>
    <n v="300000"/>
    <n v="15000"/>
    <x v="98"/>
    <x v="98"/>
  </r>
  <r>
    <n v="1144"/>
    <s v="2025-03-31"/>
    <s v="Priya"/>
    <x v="2"/>
    <x v="5"/>
    <n v="4"/>
    <n v="5000"/>
    <n v="0"/>
    <n v="20000"/>
    <n v="0"/>
    <x v="21"/>
    <x v="21"/>
  </r>
  <r>
    <n v="1145"/>
    <s v="2025-06-11"/>
    <s v="Rahul"/>
    <x v="0"/>
    <x v="0"/>
    <n v="1"/>
    <n v="50000"/>
    <n v="15"/>
    <n v="50000"/>
    <n v="7500"/>
    <x v="78"/>
    <x v="78"/>
  </r>
  <r>
    <n v="1146"/>
    <s v="2025-05-19"/>
    <s v="Priya"/>
    <x v="0"/>
    <x v="2"/>
    <n v="6"/>
    <n v="500"/>
    <n v="0"/>
    <n v="3000"/>
    <n v="0"/>
    <x v="99"/>
    <x v="99"/>
  </r>
  <r>
    <n v="1147"/>
    <s v="2025-03-06"/>
    <s v="Deepa"/>
    <x v="2"/>
    <x v="7"/>
    <n v="8"/>
    <n v="500"/>
    <n v="5"/>
    <n v="4000"/>
    <n v="200"/>
    <x v="100"/>
    <x v="100"/>
  </r>
  <r>
    <n v="1148"/>
    <s v="2025-08-02"/>
    <s v="Kiran"/>
    <x v="0"/>
    <x v="0"/>
    <n v="1"/>
    <n v="1200"/>
    <n v="15"/>
    <n v="1200"/>
    <n v="180"/>
    <x v="101"/>
    <x v="101"/>
  </r>
  <r>
    <n v="1149"/>
    <s v="2025-03-29"/>
    <s v="Rahul"/>
    <x v="0"/>
    <x v="2"/>
    <n v="9"/>
    <n v="5000"/>
    <n v="10"/>
    <n v="45000"/>
    <n v="4500"/>
    <x v="6"/>
    <x v="6"/>
  </r>
  <r>
    <n v="1150"/>
    <s v="2025-12-05"/>
    <s v="Rahul"/>
    <x v="0"/>
    <x v="0"/>
    <n v="6"/>
    <n v="50000"/>
    <n v="15"/>
    <n v="300000"/>
    <n v="45000"/>
    <x v="102"/>
    <x v="102"/>
  </r>
  <r>
    <n v="1151"/>
    <s v="2025-02-06"/>
    <s v="Anil"/>
    <x v="2"/>
    <x v="8"/>
    <n v="4"/>
    <n v="5000"/>
    <n v="15"/>
    <n v="20000"/>
    <n v="3000"/>
    <x v="30"/>
    <x v="30"/>
  </r>
  <r>
    <n v="1152"/>
    <s v="2025-10-17"/>
    <s v="Deepa"/>
    <x v="0"/>
    <x v="2"/>
    <n v="1"/>
    <n v="5000"/>
    <n v="15"/>
    <n v="5000"/>
    <n v="750"/>
    <x v="53"/>
    <x v="53"/>
  </r>
  <r>
    <n v="1153"/>
    <s v="2025-05-09"/>
    <s v="Naveen"/>
    <x v="1"/>
    <x v="3"/>
    <n v="7"/>
    <n v="5000"/>
    <n v="0"/>
    <n v="35000"/>
    <n v="0"/>
    <x v="19"/>
    <x v="19"/>
  </r>
  <r>
    <n v="1154"/>
    <s v="2025-07-06"/>
    <s v="Anil"/>
    <x v="1"/>
    <x v="3"/>
    <n v="10"/>
    <n v="2500"/>
    <n v="5"/>
    <n v="25000"/>
    <n v="1250"/>
    <x v="28"/>
    <x v="28"/>
  </r>
  <r>
    <n v="1155"/>
    <s v="2025-10-19"/>
    <s v="Priya"/>
    <x v="2"/>
    <x v="8"/>
    <n v="9"/>
    <n v="800"/>
    <n v="10"/>
    <n v="7200"/>
    <n v="720"/>
    <x v="51"/>
    <x v="51"/>
  </r>
  <r>
    <n v="1156"/>
    <s v="2025-06-17"/>
    <s v="Lakshmi"/>
    <x v="0"/>
    <x v="2"/>
    <n v="1"/>
    <n v="50000"/>
    <n v="10"/>
    <n v="50000"/>
    <n v="5000"/>
    <x v="82"/>
    <x v="82"/>
  </r>
  <r>
    <n v="1157"/>
    <s v="2025-08-02"/>
    <s v="Rahul"/>
    <x v="0"/>
    <x v="0"/>
    <n v="1"/>
    <n v="800"/>
    <n v="5"/>
    <n v="800"/>
    <n v="40"/>
    <x v="31"/>
    <x v="31"/>
  </r>
  <r>
    <n v="1158"/>
    <s v="2025-02-19"/>
    <s v="Suresh"/>
    <x v="0"/>
    <x v="2"/>
    <n v="4"/>
    <n v="10000"/>
    <n v="5"/>
    <n v="40000"/>
    <n v="2000"/>
    <x v="95"/>
    <x v="95"/>
  </r>
  <r>
    <n v="1159"/>
    <s v="2025-01-16"/>
    <s v="Ravi"/>
    <x v="0"/>
    <x v="2"/>
    <n v="8"/>
    <n v="1200"/>
    <n v="5"/>
    <n v="9600"/>
    <n v="480"/>
    <x v="103"/>
    <x v="103"/>
  </r>
  <r>
    <n v="1160"/>
    <s v="2025-07-10"/>
    <s v="Anil"/>
    <x v="2"/>
    <x v="8"/>
    <n v="6"/>
    <n v="20000"/>
    <n v="5"/>
    <n v="120000"/>
    <n v="6000"/>
    <x v="104"/>
    <x v="104"/>
  </r>
  <r>
    <n v="1161"/>
    <s v="2025-11-10"/>
    <s v="Kiran"/>
    <x v="1"/>
    <x v="3"/>
    <n v="4"/>
    <n v="20000"/>
    <n v="0"/>
    <n v="80000"/>
    <n v="0"/>
    <x v="72"/>
    <x v="72"/>
  </r>
  <r>
    <n v="1162"/>
    <s v="2025-06-28"/>
    <s v="Lakshmi"/>
    <x v="1"/>
    <x v="4"/>
    <n v="1"/>
    <n v="5000"/>
    <n v="2"/>
    <n v="5000"/>
    <n v="100"/>
    <x v="50"/>
    <x v="50"/>
  </r>
  <r>
    <n v="1163"/>
    <s v="2025-12-18"/>
    <s v="Naveen"/>
    <x v="1"/>
    <x v="6"/>
    <n v="5"/>
    <n v="2500"/>
    <n v="15"/>
    <n v="12500"/>
    <n v="1875"/>
    <x v="33"/>
    <x v="33"/>
  </r>
  <r>
    <n v="1164"/>
    <s v="2025-12-10"/>
    <s v="Deepa"/>
    <x v="0"/>
    <x v="1"/>
    <n v="6"/>
    <n v="2500"/>
    <n v="10"/>
    <n v="15000"/>
    <n v="1500"/>
    <x v="93"/>
    <x v="93"/>
  </r>
  <r>
    <n v="1165"/>
    <s v="2025-04-10"/>
    <s v="Kiran"/>
    <x v="0"/>
    <x v="1"/>
    <n v="7"/>
    <n v="50000"/>
    <n v="2"/>
    <n v="350000"/>
    <n v="7000"/>
    <x v="105"/>
    <x v="105"/>
  </r>
  <r>
    <n v="1166"/>
    <s v="2025-09-06"/>
    <s v="Naveen"/>
    <x v="1"/>
    <x v="6"/>
    <n v="5"/>
    <n v="10000"/>
    <n v="5"/>
    <n v="50000"/>
    <n v="2500"/>
    <x v="25"/>
    <x v="25"/>
  </r>
  <r>
    <n v="1167"/>
    <s v="2025-12-03"/>
    <s v="Lakshmi"/>
    <x v="1"/>
    <x v="4"/>
    <n v="10"/>
    <n v="5000"/>
    <n v="2"/>
    <n v="50000"/>
    <n v="1000"/>
    <x v="106"/>
    <x v="106"/>
  </r>
  <r>
    <n v="1168"/>
    <s v="2025-07-17"/>
    <s v="Deepa"/>
    <x v="1"/>
    <x v="4"/>
    <n v="9"/>
    <n v="20000"/>
    <n v="10"/>
    <n v="180000"/>
    <n v="18000"/>
    <x v="13"/>
    <x v="13"/>
  </r>
  <r>
    <n v="1169"/>
    <s v="2025-06-25"/>
    <s v="Naveen"/>
    <x v="1"/>
    <x v="4"/>
    <n v="1"/>
    <n v="50000"/>
    <n v="15"/>
    <n v="50000"/>
    <n v="7500"/>
    <x v="78"/>
    <x v="78"/>
  </r>
  <r>
    <n v="1170"/>
    <s v="2025-07-24"/>
    <s v="Suresh"/>
    <x v="0"/>
    <x v="0"/>
    <n v="3"/>
    <n v="5000"/>
    <n v="5"/>
    <n v="15000"/>
    <n v="750"/>
    <x v="107"/>
    <x v="107"/>
  </r>
  <r>
    <n v="1171"/>
    <s v="2025-01-30"/>
    <s v="Lakshmi"/>
    <x v="0"/>
    <x v="1"/>
    <n v="10"/>
    <n v="1200"/>
    <n v="2"/>
    <n v="12000"/>
    <n v="240"/>
    <x v="108"/>
    <x v="108"/>
  </r>
  <r>
    <n v="1172"/>
    <s v="2025-01-13"/>
    <s v="Priya"/>
    <x v="2"/>
    <x v="5"/>
    <n v="5"/>
    <n v="1200"/>
    <n v="15"/>
    <n v="6000"/>
    <n v="900"/>
    <x v="49"/>
    <x v="49"/>
  </r>
  <r>
    <n v="1173"/>
    <s v="2025-12-04"/>
    <s v="Lakshmi"/>
    <x v="2"/>
    <x v="7"/>
    <n v="3"/>
    <n v="500"/>
    <n v="10"/>
    <n v="1500"/>
    <n v="150"/>
    <x v="109"/>
    <x v="109"/>
  </r>
  <r>
    <n v="1174"/>
    <s v="2025-08-04"/>
    <s v="Anil"/>
    <x v="1"/>
    <x v="3"/>
    <n v="5"/>
    <n v="20000"/>
    <n v="5"/>
    <n v="100000"/>
    <n v="5000"/>
    <x v="54"/>
    <x v="54"/>
  </r>
  <r>
    <n v="1175"/>
    <s v="2025-08-20"/>
    <s v="Rahul"/>
    <x v="2"/>
    <x v="7"/>
    <n v="2"/>
    <n v="5000"/>
    <n v="2"/>
    <n v="10000"/>
    <n v="200"/>
    <x v="110"/>
    <x v="110"/>
  </r>
  <r>
    <n v="1176"/>
    <s v="2025-01-03"/>
    <s v="Anil"/>
    <x v="2"/>
    <x v="7"/>
    <n v="4"/>
    <n v="1200"/>
    <n v="5"/>
    <n v="4800"/>
    <n v="240"/>
    <x v="88"/>
    <x v="88"/>
  </r>
  <r>
    <n v="1177"/>
    <s v="2025-07-16"/>
    <s v="Ravi"/>
    <x v="0"/>
    <x v="0"/>
    <n v="5"/>
    <n v="800"/>
    <n v="15"/>
    <n v="4000"/>
    <n v="600"/>
    <x v="111"/>
    <x v="111"/>
  </r>
  <r>
    <n v="1178"/>
    <s v="2025-12-13"/>
    <s v="Anil"/>
    <x v="1"/>
    <x v="3"/>
    <n v="10"/>
    <n v="5000"/>
    <n v="5"/>
    <n v="50000"/>
    <n v="2500"/>
    <x v="25"/>
    <x v="25"/>
  </r>
  <r>
    <n v="1179"/>
    <s v="2025-08-15"/>
    <s v="Suresh"/>
    <x v="2"/>
    <x v="5"/>
    <n v="5"/>
    <n v="20000"/>
    <n v="10"/>
    <n v="100000"/>
    <n v="10000"/>
    <x v="2"/>
    <x v="2"/>
  </r>
  <r>
    <n v="1180"/>
    <s v="2025-04-09"/>
    <s v="Suresh"/>
    <x v="2"/>
    <x v="5"/>
    <n v="4"/>
    <n v="800"/>
    <n v="10"/>
    <n v="3200"/>
    <n v="320"/>
    <x v="112"/>
    <x v="112"/>
  </r>
  <r>
    <n v="1181"/>
    <s v="2025-02-16"/>
    <s v="Kiran"/>
    <x v="0"/>
    <x v="1"/>
    <n v="9"/>
    <n v="10000"/>
    <n v="15"/>
    <n v="90000"/>
    <n v="13500"/>
    <x v="113"/>
    <x v="113"/>
  </r>
  <r>
    <n v="1182"/>
    <s v="2025-01-22"/>
    <s v="Priya"/>
    <x v="1"/>
    <x v="4"/>
    <n v="8"/>
    <n v="50000"/>
    <n v="5"/>
    <n v="400000"/>
    <n v="20000"/>
    <x v="114"/>
    <x v="114"/>
  </r>
  <r>
    <n v="1183"/>
    <s v="2025-06-28"/>
    <s v="Rahul"/>
    <x v="2"/>
    <x v="7"/>
    <n v="9"/>
    <n v="1200"/>
    <n v="2"/>
    <n v="10800"/>
    <n v="216"/>
    <x v="115"/>
    <x v="115"/>
  </r>
  <r>
    <n v="1184"/>
    <s v="2025-03-29"/>
    <s v="Naveen"/>
    <x v="2"/>
    <x v="8"/>
    <n v="3"/>
    <n v="1200"/>
    <n v="15"/>
    <n v="3600"/>
    <n v="540"/>
    <x v="116"/>
    <x v="116"/>
  </r>
  <r>
    <n v="1185"/>
    <s v="2025-12-26"/>
    <s v="Rahul"/>
    <x v="0"/>
    <x v="1"/>
    <n v="1"/>
    <n v="500"/>
    <n v="2"/>
    <n v="500"/>
    <n v="10"/>
    <x v="117"/>
    <x v="117"/>
  </r>
  <r>
    <n v="1186"/>
    <s v="2025-06-23"/>
    <s v="Deepa"/>
    <x v="0"/>
    <x v="1"/>
    <n v="5"/>
    <n v="2500"/>
    <n v="5"/>
    <n v="12500"/>
    <n v="625"/>
    <x v="118"/>
    <x v="118"/>
  </r>
  <r>
    <n v="1187"/>
    <s v="2025-08-04"/>
    <s v="Naveen"/>
    <x v="1"/>
    <x v="3"/>
    <n v="6"/>
    <n v="500"/>
    <n v="10"/>
    <n v="3000"/>
    <n v="300"/>
    <x v="11"/>
    <x v="11"/>
  </r>
  <r>
    <n v="1188"/>
    <s v="2025-08-23"/>
    <s v="Deepa"/>
    <x v="1"/>
    <x v="3"/>
    <n v="10"/>
    <n v="5000"/>
    <n v="0"/>
    <n v="50000"/>
    <n v="0"/>
    <x v="119"/>
    <x v="119"/>
  </r>
  <r>
    <n v="1189"/>
    <s v="2025-07-03"/>
    <s v="Lakshmi"/>
    <x v="1"/>
    <x v="4"/>
    <n v="1"/>
    <n v="10000"/>
    <n v="10"/>
    <n v="10000"/>
    <n v="1000"/>
    <x v="0"/>
    <x v="0"/>
  </r>
  <r>
    <n v="1190"/>
    <s v="2025-10-06"/>
    <s v="Kiran"/>
    <x v="0"/>
    <x v="0"/>
    <n v="1"/>
    <n v="800"/>
    <n v="10"/>
    <n v="800"/>
    <n v="80"/>
    <x v="120"/>
    <x v="120"/>
  </r>
  <r>
    <n v="1191"/>
    <s v="2025-11-04"/>
    <s v="Deepa"/>
    <x v="2"/>
    <x v="5"/>
    <n v="7"/>
    <n v="800"/>
    <n v="2"/>
    <n v="5600"/>
    <n v="112"/>
    <x v="90"/>
    <x v="90"/>
  </r>
  <r>
    <n v="1192"/>
    <s v="2025-09-18"/>
    <s v="Anil"/>
    <x v="0"/>
    <x v="2"/>
    <n v="1"/>
    <n v="20000"/>
    <n v="2"/>
    <n v="20000"/>
    <n v="400"/>
    <x v="47"/>
    <x v="47"/>
  </r>
  <r>
    <n v="1193"/>
    <s v="2025-04-24"/>
    <s v="Anil"/>
    <x v="0"/>
    <x v="1"/>
    <n v="5"/>
    <n v="10000"/>
    <n v="2"/>
    <n v="50000"/>
    <n v="1000"/>
    <x v="106"/>
    <x v="106"/>
  </r>
  <r>
    <n v="1194"/>
    <s v="2025-01-08"/>
    <s v="Rahul"/>
    <x v="2"/>
    <x v="7"/>
    <n v="9"/>
    <n v="2500"/>
    <n v="15"/>
    <n v="22500"/>
    <n v="3375"/>
    <x v="92"/>
    <x v="92"/>
  </r>
  <r>
    <n v="1195"/>
    <s v="2025-04-11"/>
    <s v="Lakshmi"/>
    <x v="1"/>
    <x v="4"/>
    <n v="4"/>
    <n v="2500"/>
    <n v="2"/>
    <n v="10000"/>
    <n v="200"/>
    <x v="110"/>
    <x v="110"/>
  </r>
  <r>
    <n v="1196"/>
    <s v="2025-08-12"/>
    <s v="Naveen"/>
    <x v="0"/>
    <x v="0"/>
    <n v="7"/>
    <n v="50000"/>
    <n v="5"/>
    <n v="350000"/>
    <n v="17500"/>
    <x v="121"/>
    <x v="121"/>
  </r>
  <r>
    <n v="1197"/>
    <s v="2025-09-11"/>
    <s v="Suresh"/>
    <x v="2"/>
    <x v="5"/>
    <n v="5"/>
    <n v="10000"/>
    <n v="0"/>
    <n v="50000"/>
    <n v="0"/>
    <x v="119"/>
    <x v="119"/>
  </r>
  <r>
    <n v="1198"/>
    <s v="2025-08-08"/>
    <s v="Naveen"/>
    <x v="1"/>
    <x v="6"/>
    <n v="2"/>
    <n v="1200"/>
    <n v="2"/>
    <n v="2400"/>
    <n v="48"/>
    <x v="122"/>
    <x v="122"/>
  </r>
  <r>
    <n v="1199"/>
    <s v="2025-02-19"/>
    <s v="Suresh"/>
    <x v="2"/>
    <x v="7"/>
    <n v="2"/>
    <n v="800"/>
    <n v="5"/>
    <n v="1600"/>
    <n v="80"/>
    <x v="123"/>
    <x v="123"/>
  </r>
  <r>
    <n v="1200"/>
    <s v="2025-07-27"/>
    <s v="Lakshmi"/>
    <x v="2"/>
    <x v="5"/>
    <n v="7"/>
    <n v="50000"/>
    <n v="2"/>
    <n v="350000"/>
    <n v="7000"/>
    <x v="105"/>
    <x v="105"/>
  </r>
  <r>
    <n v="1201"/>
    <s v="2025-01-21"/>
    <s v="Suresh"/>
    <x v="1"/>
    <x v="4"/>
    <n v="8"/>
    <n v="500"/>
    <n v="2"/>
    <n v="4000"/>
    <n v="80"/>
    <x v="76"/>
    <x v="76"/>
  </r>
  <r>
    <n v="1202"/>
    <s v="2025-12-13"/>
    <s v="Priya"/>
    <x v="2"/>
    <x v="8"/>
    <n v="4"/>
    <n v="20000"/>
    <n v="0"/>
    <n v="80000"/>
    <n v="0"/>
    <x v="72"/>
    <x v="72"/>
  </r>
  <r>
    <n v="1203"/>
    <s v="2025-09-28"/>
    <s v="Pooja"/>
    <x v="1"/>
    <x v="6"/>
    <n v="6"/>
    <n v="5000"/>
    <n v="2"/>
    <n v="30000"/>
    <n v="600"/>
    <x v="63"/>
    <x v="63"/>
  </r>
  <r>
    <n v="1204"/>
    <s v="2025-08-17"/>
    <s v="Anil"/>
    <x v="0"/>
    <x v="0"/>
    <n v="3"/>
    <n v="2500"/>
    <n v="2"/>
    <n v="7500"/>
    <n v="150"/>
    <x v="124"/>
    <x v="124"/>
  </r>
  <r>
    <n v="1205"/>
    <s v="2025-08-10"/>
    <s v="Suresh"/>
    <x v="0"/>
    <x v="0"/>
    <n v="9"/>
    <n v="20000"/>
    <n v="15"/>
    <n v="180000"/>
    <n v="27000"/>
    <x v="125"/>
    <x v="125"/>
  </r>
  <r>
    <n v="1206"/>
    <s v="2025-12-24"/>
    <s v="Suresh"/>
    <x v="2"/>
    <x v="8"/>
    <n v="6"/>
    <n v="500"/>
    <n v="15"/>
    <n v="3000"/>
    <n v="450"/>
    <x v="126"/>
    <x v="126"/>
  </r>
  <r>
    <n v="1207"/>
    <s v="2025-03-26"/>
    <s v="Anil"/>
    <x v="1"/>
    <x v="4"/>
    <n v="5"/>
    <n v="5000"/>
    <n v="10"/>
    <n v="25000"/>
    <n v="2500"/>
    <x v="127"/>
    <x v="127"/>
  </r>
  <r>
    <n v="1208"/>
    <s v="2025-05-12"/>
    <s v="Rahul"/>
    <x v="0"/>
    <x v="0"/>
    <n v="5"/>
    <n v="2500"/>
    <n v="0"/>
    <n v="12500"/>
    <n v="0"/>
    <x v="128"/>
    <x v="128"/>
  </r>
  <r>
    <n v="1209"/>
    <s v="2025-12-16"/>
    <s v="Pooja"/>
    <x v="0"/>
    <x v="2"/>
    <n v="1"/>
    <n v="800"/>
    <n v="0"/>
    <n v="800"/>
    <n v="0"/>
    <x v="129"/>
    <x v="129"/>
  </r>
  <r>
    <n v="1210"/>
    <s v="2025-01-16"/>
    <s v="Deepa"/>
    <x v="1"/>
    <x v="4"/>
    <n v="4"/>
    <n v="5000"/>
    <n v="15"/>
    <n v="20000"/>
    <n v="3000"/>
    <x v="30"/>
    <x v="30"/>
  </r>
  <r>
    <n v="1211"/>
    <s v="2025-05-31"/>
    <s v="Suresh"/>
    <x v="1"/>
    <x v="6"/>
    <n v="7"/>
    <n v="20000"/>
    <n v="0"/>
    <n v="140000"/>
    <n v="0"/>
    <x v="130"/>
    <x v="130"/>
  </r>
  <r>
    <n v="1212"/>
    <s v="2025-08-01"/>
    <s v="Priya"/>
    <x v="2"/>
    <x v="8"/>
    <n v="3"/>
    <n v="2500"/>
    <n v="15"/>
    <n v="7500"/>
    <n v="1125"/>
    <x v="131"/>
    <x v="131"/>
  </r>
  <r>
    <n v="1213"/>
    <s v="2025-02-28"/>
    <s v="Deepa"/>
    <x v="2"/>
    <x v="7"/>
    <n v="3"/>
    <n v="5000"/>
    <n v="2"/>
    <n v="15000"/>
    <n v="300"/>
    <x v="132"/>
    <x v="132"/>
  </r>
  <r>
    <n v="1214"/>
    <s v="2025-12-05"/>
    <s v="Lakshmi"/>
    <x v="2"/>
    <x v="7"/>
    <n v="10"/>
    <n v="20000"/>
    <n v="0"/>
    <n v="200000"/>
    <n v="0"/>
    <x v="32"/>
    <x v="32"/>
  </r>
  <r>
    <n v="1215"/>
    <s v="2025-12-06"/>
    <s v="Suresh"/>
    <x v="1"/>
    <x v="6"/>
    <n v="9"/>
    <n v="1200"/>
    <n v="10"/>
    <n v="10800"/>
    <n v="1080"/>
    <x v="133"/>
    <x v="133"/>
  </r>
  <r>
    <n v="1216"/>
    <s v="2025-10-22"/>
    <s v="Anil"/>
    <x v="1"/>
    <x v="4"/>
    <n v="1"/>
    <n v="2500"/>
    <n v="2"/>
    <n v="2500"/>
    <n v="50"/>
    <x v="38"/>
    <x v="38"/>
  </r>
  <r>
    <n v="1217"/>
    <s v="2025-10-09"/>
    <s v="Deepa"/>
    <x v="0"/>
    <x v="0"/>
    <n v="8"/>
    <n v="50000"/>
    <n v="0"/>
    <n v="400000"/>
    <n v="0"/>
    <x v="134"/>
    <x v="134"/>
  </r>
  <r>
    <n v="1218"/>
    <s v="2025-05-22"/>
    <s v="Ravi"/>
    <x v="1"/>
    <x v="4"/>
    <n v="1"/>
    <n v="2500"/>
    <n v="0"/>
    <n v="2500"/>
    <n v="0"/>
    <x v="87"/>
    <x v="87"/>
  </r>
  <r>
    <n v="1219"/>
    <s v="2025-07-02"/>
    <s v="Suresh"/>
    <x v="1"/>
    <x v="6"/>
    <n v="10"/>
    <n v="50000"/>
    <n v="10"/>
    <n v="500000"/>
    <n v="50000"/>
    <x v="39"/>
    <x v="39"/>
  </r>
  <r>
    <n v="1220"/>
    <s v="2025-04-20"/>
    <s v="Priya"/>
    <x v="0"/>
    <x v="2"/>
    <n v="4"/>
    <n v="10000"/>
    <n v="15"/>
    <n v="40000"/>
    <n v="6000"/>
    <x v="14"/>
    <x v="14"/>
  </r>
  <r>
    <n v="1221"/>
    <s v="2025-03-07"/>
    <s v="Ravi"/>
    <x v="0"/>
    <x v="0"/>
    <n v="8"/>
    <n v="5000"/>
    <n v="5"/>
    <n v="40000"/>
    <n v="2000"/>
    <x v="95"/>
    <x v="95"/>
  </r>
  <r>
    <n v="1222"/>
    <s v="2025-05-05"/>
    <s v="Naveen"/>
    <x v="2"/>
    <x v="5"/>
    <n v="7"/>
    <n v="1200"/>
    <n v="5"/>
    <n v="8400"/>
    <n v="420"/>
    <x v="135"/>
    <x v="135"/>
  </r>
  <r>
    <n v="1223"/>
    <s v="2025-10-30"/>
    <s v="Deepa"/>
    <x v="1"/>
    <x v="3"/>
    <n v="8"/>
    <n v="800"/>
    <n v="15"/>
    <n v="6400"/>
    <n v="960"/>
    <x v="96"/>
    <x v="96"/>
  </r>
  <r>
    <n v="1224"/>
    <s v="2025-03-16"/>
    <s v="Priya"/>
    <x v="0"/>
    <x v="1"/>
    <n v="9"/>
    <n v="5000"/>
    <n v="5"/>
    <n v="45000"/>
    <n v="2250"/>
    <x v="65"/>
    <x v="65"/>
  </r>
  <r>
    <n v="1225"/>
    <s v="2025-02-27"/>
    <s v="Deepa"/>
    <x v="0"/>
    <x v="1"/>
    <n v="1"/>
    <n v="500"/>
    <n v="10"/>
    <n v="500"/>
    <n v="50"/>
    <x v="136"/>
    <x v="136"/>
  </r>
  <r>
    <n v="1226"/>
    <s v="2025-03-01"/>
    <s v="Lakshmi"/>
    <x v="0"/>
    <x v="2"/>
    <n v="1"/>
    <n v="20000"/>
    <n v="15"/>
    <n v="20000"/>
    <n v="3000"/>
    <x v="30"/>
    <x v="30"/>
  </r>
  <r>
    <n v="1227"/>
    <s v="2025-06-21"/>
    <s v="Ravi"/>
    <x v="0"/>
    <x v="2"/>
    <n v="10"/>
    <n v="1200"/>
    <n v="15"/>
    <n v="12000"/>
    <n v="1800"/>
    <x v="137"/>
    <x v="137"/>
  </r>
  <r>
    <n v="1228"/>
    <s v="2025-08-28"/>
    <s v="Anil"/>
    <x v="0"/>
    <x v="1"/>
    <n v="7"/>
    <n v="2500"/>
    <n v="2"/>
    <n v="17500"/>
    <n v="350"/>
    <x v="18"/>
    <x v="18"/>
  </r>
  <r>
    <n v="1229"/>
    <s v="2025-10-29"/>
    <s v="Naveen"/>
    <x v="1"/>
    <x v="6"/>
    <n v="7"/>
    <n v="800"/>
    <n v="2"/>
    <n v="5600"/>
    <n v="112"/>
    <x v="90"/>
    <x v="90"/>
  </r>
  <r>
    <n v="1230"/>
    <s v="2025-07-30"/>
    <s v="Rahul"/>
    <x v="0"/>
    <x v="2"/>
    <n v="1"/>
    <n v="2500"/>
    <n v="15"/>
    <n v="2500"/>
    <n v="375"/>
    <x v="4"/>
    <x v="4"/>
  </r>
  <r>
    <n v="1231"/>
    <s v="2025-03-17"/>
    <s v="Ravi"/>
    <x v="0"/>
    <x v="1"/>
    <n v="1"/>
    <n v="800"/>
    <n v="10"/>
    <n v="800"/>
    <n v="80"/>
    <x v="120"/>
    <x v="120"/>
  </r>
  <r>
    <n v="1232"/>
    <s v="2025-10-08"/>
    <s v="Rahul"/>
    <x v="1"/>
    <x v="4"/>
    <n v="8"/>
    <n v="10000"/>
    <n v="5"/>
    <n v="80000"/>
    <n v="4000"/>
    <x v="83"/>
    <x v="83"/>
  </r>
  <r>
    <n v="1233"/>
    <s v="2025-05-16"/>
    <s v="Pooja"/>
    <x v="1"/>
    <x v="6"/>
    <n v="2"/>
    <n v="50000"/>
    <n v="5"/>
    <n v="100000"/>
    <n v="5000"/>
    <x v="54"/>
    <x v="54"/>
  </r>
  <r>
    <n v="1234"/>
    <s v="2025-04-11"/>
    <s v="Rahul"/>
    <x v="2"/>
    <x v="5"/>
    <n v="6"/>
    <n v="800"/>
    <n v="15"/>
    <n v="4800"/>
    <n v="720"/>
    <x v="70"/>
    <x v="70"/>
  </r>
  <r>
    <n v="1235"/>
    <s v="2025-10-13"/>
    <s v="Kiran"/>
    <x v="0"/>
    <x v="0"/>
    <n v="9"/>
    <n v="500"/>
    <n v="15"/>
    <n v="4500"/>
    <n v="675"/>
    <x v="45"/>
    <x v="45"/>
  </r>
  <r>
    <n v="1236"/>
    <s v="2025-09-03"/>
    <s v="Pooja"/>
    <x v="0"/>
    <x v="2"/>
    <n v="6"/>
    <n v="50000"/>
    <n v="2"/>
    <n v="300000"/>
    <n v="6000"/>
    <x v="138"/>
    <x v="138"/>
  </r>
  <r>
    <n v="1237"/>
    <s v="2025-06-23"/>
    <s v="Lakshmi"/>
    <x v="2"/>
    <x v="7"/>
    <n v="9"/>
    <n v="50000"/>
    <n v="0"/>
    <n v="450000"/>
    <n v="0"/>
    <x v="39"/>
    <x v="39"/>
  </r>
  <r>
    <n v="1238"/>
    <s v="2025-06-13"/>
    <s v="Anil"/>
    <x v="1"/>
    <x v="3"/>
    <n v="7"/>
    <n v="10000"/>
    <n v="10"/>
    <n v="70000"/>
    <n v="7000"/>
    <x v="66"/>
    <x v="66"/>
  </r>
  <r>
    <n v="1239"/>
    <s v="2025-07-17"/>
    <s v="Ravi"/>
    <x v="0"/>
    <x v="0"/>
    <n v="6"/>
    <n v="1200"/>
    <n v="0"/>
    <n v="7200"/>
    <n v="0"/>
    <x v="3"/>
    <x v="3"/>
  </r>
  <r>
    <n v="1240"/>
    <s v="2025-01-11"/>
    <s v="Pooja"/>
    <x v="1"/>
    <x v="6"/>
    <n v="6"/>
    <n v="800"/>
    <n v="2"/>
    <n v="4800"/>
    <n v="96"/>
    <x v="139"/>
    <x v="139"/>
  </r>
  <r>
    <n v="1241"/>
    <s v="2025-05-01"/>
    <s v="Deepa"/>
    <x v="2"/>
    <x v="5"/>
    <n v="9"/>
    <n v="50000"/>
    <n v="5"/>
    <n v="450000"/>
    <n v="22500"/>
    <x v="140"/>
    <x v="140"/>
  </r>
  <r>
    <n v="1242"/>
    <s v="2025-10-12"/>
    <s v="Anil"/>
    <x v="0"/>
    <x v="2"/>
    <n v="7"/>
    <n v="5000"/>
    <n v="15"/>
    <n v="35000"/>
    <n v="5250"/>
    <x v="141"/>
    <x v="141"/>
  </r>
  <r>
    <n v="1243"/>
    <s v="2025-05-06"/>
    <s v="Deepa"/>
    <x v="2"/>
    <x v="5"/>
    <n v="4"/>
    <n v="5000"/>
    <n v="15"/>
    <n v="20000"/>
    <n v="3000"/>
    <x v="30"/>
    <x v="30"/>
  </r>
  <r>
    <n v="1244"/>
    <s v="2025-03-12"/>
    <s v="Naveen"/>
    <x v="0"/>
    <x v="1"/>
    <n v="9"/>
    <n v="1200"/>
    <n v="2"/>
    <n v="10800"/>
    <n v="216"/>
    <x v="115"/>
    <x v="115"/>
  </r>
  <r>
    <n v="1245"/>
    <s v="2025-12-27"/>
    <s v="Kiran"/>
    <x v="2"/>
    <x v="7"/>
    <n v="9"/>
    <n v="10000"/>
    <n v="10"/>
    <n v="90000"/>
    <n v="9000"/>
    <x v="142"/>
    <x v="142"/>
  </r>
  <r>
    <n v="1246"/>
    <s v="2025-05-27"/>
    <s v="Pooja"/>
    <x v="2"/>
    <x v="5"/>
    <n v="6"/>
    <n v="50000"/>
    <n v="2"/>
    <n v="300000"/>
    <n v="6000"/>
    <x v="138"/>
    <x v="138"/>
  </r>
  <r>
    <n v="1247"/>
    <s v="2025-09-26"/>
    <s v="Priya"/>
    <x v="1"/>
    <x v="3"/>
    <n v="7"/>
    <n v="20000"/>
    <n v="10"/>
    <n v="140000"/>
    <n v="14000"/>
    <x v="143"/>
    <x v="143"/>
  </r>
  <r>
    <n v="1248"/>
    <s v="2025-05-07"/>
    <s v="Anil"/>
    <x v="2"/>
    <x v="7"/>
    <n v="4"/>
    <n v="20000"/>
    <n v="5"/>
    <n v="80000"/>
    <n v="4000"/>
    <x v="83"/>
    <x v="83"/>
  </r>
  <r>
    <n v="1249"/>
    <s v="2025-10-05"/>
    <s v="Naveen"/>
    <x v="1"/>
    <x v="4"/>
    <n v="4"/>
    <n v="20000"/>
    <n v="5"/>
    <n v="80000"/>
    <n v="4000"/>
    <x v="83"/>
    <x v="83"/>
  </r>
  <r>
    <n v="1250"/>
    <s v="2025-02-15"/>
    <s v="Ravi"/>
    <x v="0"/>
    <x v="1"/>
    <n v="10"/>
    <n v="10000"/>
    <n v="0"/>
    <n v="100000"/>
    <n v="0"/>
    <x v="144"/>
    <x v="144"/>
  </r>
  <r>
    <n v="1251"/>
    <s v="2025-03-25"/>
    <s v="Kiran"/>
    <x v="0"/>
    <x v="0"/>
    <n v="5"/>
    <n v="2500"/>
    <n v="5"/>
    <n v="12500"/>
    <n v="625"/>
    <x v="118"/>
    <x v="118"/>
  </r>
  <r>
    <n v="1252"/>
    <s v="2025-04-04"/>
    <s v="Priya"/>
    <x v="2"/>
    <x v="7"/>
    <n v="6"/>
    <n v="50000"/>
    <n v="10"/>
    <n v="300000"/>
    <n v="30000"/>
    <x v="36"/>
    <x v="36"/>
  </r>
  <r>
    <n v="1253"/>
    <s v="2025-05-31"/>
    <s v="Deepa"/>
    <x v="1"/>
    <x v="4"/>
    <n v="2"/>
    <n v="1200"/>
    <n v="2"/>
    <n v="2400"/>
    <n v="48"/>
    <x v="122"/>
    <x v="122"/>
  </r>
  <r>
    <n v="1254"/>
    <s v="2025-11-03"/>
    <s v="Naveen"/>
    <x v="0"/>
    <x v="2"/>
    <n v="7"/>
    <n v="1200"/>
    <n v="2"/>
    <n v="8400"/>
    <n v="168"/>
    <x v="145"/>
    <x v="145"/>
  </r>
  <r>
    <n v="1255"/>
    <s v="2025-02-26"/>
    <s v="Anil"/>
    <x v="0"/>
    <x v="1"/>
    <n v="7"/>
    <n v="2500"/>
    <n v="2"/>
    <n v="17500"/>
    <n v="350"/>
    <x v="18"/>
    <x v="18"/>
  </r>
  <r>
    <n v="1256"/>
    <s v="2025-01-15"/>
    <s v="Lakshmi"/>
    <x v="2"/>
    <x v="8"/>
    <n v="4"/>
    <n v="5000"/>
    <n v="2"/>
    <n v="20000"/>
    <n v="400"/>
    <x v="47"/>
    <x v="47"/>
  </r>
  <r>
    <n v="1257"/>
    <s v="2025-08-17"/>
    <s v="Pooja"/>
    <x v="2"/>
    <x v="5"/>
    <n v="9"/>
    <n v="2500"/>
    <n v="0"/>
    <n v="22500"/>
    <n v="0"/>
    <x v="127"/>
    <x v="127"/>
  </r>
  <r>
    <n v="1258"/>
    <s v="2026-01-01"/>
    <s v="Suresh"/>
    <x v="1"/>
    <x v="6"/>
    <n v="10"/>
    <n v="2500"/>
    <n v="15"/>
    <n v="25000"/>
    <n v="3750"/>
    <x v="69"/>
    <x v="69"/>
  </r>
  <r>
    <n v="1259"/>
    <s v="2025-08-15"/>
    <s v="Ravi"/>
    <x v="2"/>
    <x v="8"/>
    <n v="8"/>
    <n v="5000"/>
    <n v="0"/>
    <n v="40000"/>
    <n v="0"/>
    <x v="26"/>
    <x v="26"/>
  </r>
  <r>
    <n v="1260"/>
    <s v="2025-05-31"/>
    <s v="Kiran"/>
    <x v="0"/>
    <x v="2"/>
    <n v="9"/>
    <n v="50000"/>
    <n v="2"/>
    <n v="450000"/>
    <n v="9000"/>
    <x v="146"/>
    <x v="146"/>
  </r>
  <r>
    <n v="1261"/>
    <s v="2025-09-01"/>
    <s v="Naveen"/>
    <x v="1"/>
    <x v="4"/>
    <n v="5"/>
    <n v="500"/>
    <n v="5"/>
    <n v="2500"/>
    <n v="125"/>
    <x v="77"/>
    <x v="77"/>
  </r>
  <r>
    <n v="1262"/>
    <s v="2025-05-25"/>
    <s v="Pooja"/>
    <x v="0"/>
    <x v="1"/>
    <n v="5"/>
    <n v="5000"/>
    <n v="15"/>
    <n v="25000"/>
    <n v="3750"/>
    <x v="69"/>
    <x v="69"/>
  </r>
  <r>
    <n v="1263"/>
    <s v="2025-08-15"/>
    <s v="Deepa"/>
    <x v="2"/>
    <x v="7"/>
    <n v="2"/>
    <n v="20000"/>
    <n v="5"/>
    <n v="40000"/>
    <n v="2000"/>
    <x v="95"/>
    <x v="95"/>
  </r>
  <r>
    <n v="1264"/>
    <s v="2025-02-17"/>
    <s v="Lakshmi"/>
    <x v="1"/>
    <x v="3"/>
    <n v="7"/>
    <n v="800"/>
    <n v="5"/>
    <n v="5600"/>
    <n v="280"/>
    <x v="147"/>
    <x v="147"/>
  </r>
  <r>
    <n v="1265"/>
    <s v="2025-10-15"/>
    <s v="Deepa"/>
    <x v="2"/>
    <x v="5"/>
    <n v="3"/>
    <n v="1200"/>
    <n v="2"/>
    <n v="3600"/>
    <n v="72"/>
    <x v="148"/>
    <x v="148"/>
  </r>
  <r>
    <n v="1266"/>
    <s v="2025-05-31"/>
    <s v="Suresh"/>
    <x v="2"/>
    <x v="8"/>
    <n v="5"/>
    <n v="800"/>
    <n v="10"/>
    <n v="4000"/>
    <n v="400"/>
    <x v="149"/>
    <x v="149"/>
  </r>
  <r>
    <n v="1267"/>
    <s v="2025-09-09"/>
    <s v="Kiran"/>
    <x v="2"/>
    <x v="7"/>
    <n v="4"/>
    <n v="50000"/>
    <n v="15"/>
    <n v="200000"/>
    <n v="30000"/>
    <x v="150"/>
    <x v="150"/>
  </r>
  <r>
    <n v="1268"/>
    <s v="2025-02-13"/>
    <s v="Suresh"/>
    <x v="2"/>
    <x v="5"/>
    <n v="6"/>
    <n v="2500"/>
    <n v="10"/>
    <n v="15000"/>
    <n v="1500"/>
    <x v="93"/>
    <x v="93"/>
  </r>
  <r>
    <n v="1269"/>
    <s v="2025-04-11"/>
    <s v="Priya"/>
    <x v="1"/>
    <x v="6"/>
    <n v="6"/>
    <n v="800"/>
    <n v="15"/>
    <n v="4800"/>
    <n v="720"/>
    <x v="70"/>
    <x v="70"/>
  </r>
  <r>
    <n v="1270"/>
    <s v="2025-01-25"/>
    <s v="Rahul"/>
    <x v="1"/>
    <x v="6"/>
    <n v="5"/>
    <n v="2500"/>
    <n v="5"/>
    <n v="12500"/>
    <n v="625"/>
    <x v="118"/>
    <x v="118"/>
  </r>
  <r>
    <n v="1271"/>
    <s v="2025-07-10"/>
    <s v="Anil"/>
    <x v="2"/>
    <x v="7"/>
    <n v="10"/>
    <n v="1200"/>
    <n v="2"/>
    <n v="12000"/>
    <n v="240"/>
    <x v="108"/>
    <x v="108"/>
  </r>
  <r>
    <n v="1272"/>
    <s v="2025-11-23"/>
    <s v="Priya"/>
    <x v="1"/>
    <x v="6"/>
    <n v="1"/>
    <n v="500"/>
    <n v="5"/>
    <n v="500"/>
    <n v="25"/>
    <x v="151"/>
    <x v="151"/>
  </r>
  <r>
    <n v="1273"/>
    <s v="2025-05-14"/>
    <s v="Rahul"/>
    <x v="1"/>
    <x v="3"/>
    <n v="5"/>
    <n v="20000"/>
    <n v="5"/>
    <n v="100000"/>
    <n v="5000"/>
    <x v="54"/>
    <x v="54"/>
  </r>
  <r>
    <n v="1274"/>
    <s v="2025-07-06"/>
    <s v="Priya"/>
    <x v="1"/>
    <x v="4"/>
    <n v="4"/>
    <n v="50000"/>
    <n v="10"/>
    <n v="200000"/>
    <n v="20000"/>
    <x v="48"/>
    <x v="48"/>
  </r>
  <r>
    <n v="1275"/>
    <s v="2025-04-24"/>
    <s v="Rahul"/>
    <x v="1"/>
    <x v="4"/>
    <n v="9"/>
    <n v="10000"/>
    <n v="2"/>
    <n v="90000"/>
    <n v="1800"/>
    <x v="9"/>
    <x v="9"/>
  </r>
  <r>
    <n v="1276"/>
    <s v="2025-12-21"/>
    <s v="Anil"/>
    <x v="0"/>
    <x v="1"/>
    <n v="6"/>
    <n v="20000"/>
    <n v="2"/>
    <n v="120000"/>
    <n v="2400"/>
    <x v="58"/>
    <x v="58"/>
  </r>
  <r>
    <n v="1277"/>
    <s v="2025-03-22"/>
    <s v="Naveen"/>
    <x v="1"/>
    <x v="6"/>
    <n v="4"/>
    <n v="1200"/>
    <n v="0"/>
    <n v="4800"/>
    <n v="0"/>
    <x v="152"/>
    <x v="152"/>
  </r>
  <r>
    <n v="1278"/>
    <s v="2025-07-13"/>
    <s v="Priya"/>
    <x v="0"/>
    <x v="2"/>
    <n v="8"/>
    <n v="10000"/>
    <n v="5"/>
    <n v="80000"/>
    <n v="4000"/>
    <x v="83"/>
    <x v="83"/>
  </r>
  <r>
    <n v="1279"/>
    <s v="2025-10-11"/>
    <s v="Rahul"/>
    <x v="2"/>
    <x v="8"/>
    <n v="2"/>
    <n v="500"/>
    <n v="15"/>
    <n v="1000"/>
    <n v="150"/>
    <x v="23"/>
    <x v="23"/>
  </r>
  <r>
    <n v="1280"/>
    <s v="2025-07-02"/>
    <s v="Kiran"/>
    <x v="1"/>
    <x v="3"/>
    <n v="4"/>
    <n v="500"/>
    <n v="15"/>
    <n v="2000"/>
    <n v="300"/>
    <x v="153"/>
    <x v="153"/>
  </r>
  <r>
    <n v="1281"/>
    <s v="2025-05-18"/>
    <s v="Deepa"/>
    <x v="2"/>
    <x v="8"/>
    <n v="8"/>
    <n v="5000"/>
    <n v="15"/>
    <n v="40000"/>
    <n v="6000"/>
    <x v="14"/>
    <x v="14"/>
  </r>
  <r>
    <n v="1282"/>
    <s v="2025-11-18"/>
    <s v="Pooja"/>
    <x v="0"/>
    <x v="2"/>
    <n v="3"/>
    <n v="10000"/>
    <n v="2"/>
    <n v="30000"/>
    <n v="600"/>
    <x v="63"/>
    <x v="63"/>
  </r>
  <r>
    <n v="1283"/>
    <s v="2025-08-30"/>
    <s v="Kiran"/>
    <x v="2"/>
    <x v="8"/>
    <n v="8"/>
    <n v="5000"/>
    <n v="2"/>
    <n v="40000"/>
    <n v="800"/>
    <x v="15"/>
    <x v="15"/>
  </r>
  <r>
    <n v="1284"/>
    <s v="2025-09-18"/>
    <s v="Lakshmi"/>
    <x v="0"/>
    <x v="1"/>
    <n v="3"/>
    <n v="50000"/>
    <n v="2"/>
    <n v="150000"/>
    <n v="3000"/>
    <x v="10"/>
    <x v="10"/>
  </r>
  <r>
    <n v="1285"/>
    <s v="2025-10-24"/>
    <s v="Deepa"/>
    <x v="2"/>
    <x v="7"/>
    <n v="3"/>
    <n v="800"/>
    <n v="5"/>
    <n v="2400"/>
    <n v="120"/>
    <x v="154"/>
    <x v="154"/>
  </r>
  <r>
    <n v="1286"/>
    <s v="2025-10-02"/>
    <s v="Kiran"/>
    <x v="2"/>
    <x v="7"/>
    <n v="10"/>
    <n v="5000"/>
    <n v="5"/>
    <n v="50000"/>
    <n v="2500"/>
    <x v="25"/>
    <x v="25"/>
  </r>
  <r>
    <n v="1287"/>
    <s v="2025-05-28"/>
    <s v="Naveen"/>
    <x v="0"/>
    <x v="0"/>
    <n v="7"/>
    <n v="10000"/>
    <n v="15"/>
    <n v="70000"/>
    <n v="10500"/>
    <x v="16"/>
    <x v="16"/>
  </r>
  <r>
    <n v="1288"/>
    <s v="2025-05-16"/>
    <s v="Pooja"/>
    <x v="0"/>
    <x v="2"/>
    <n v="2"/>
    <n v="50000"/>
    <n v="15"/>
    <n v="100000"/>
    <n v="15000"/>
    <x v="155"/>
    <x v="155"/>
  </r>
  <r>
    <n v="1289"/>
    <s v="2025-09-09"/>
    <s v="Deepa"/>
    <x v="0"/>
    <x v="2"/>
    <n v="4"/>
    <n v="50000"/>
    <n v="15"/>
    <n v="200000"/>
    <n v="30000"/>
    <x v="150"/>
    <x v="150"/>
  </r>
  <r>
    <n v="1290"/>
    <s v="2025-09-02"/>
    <s v="Rahul"/>
    <x v="0"/>
    <x v="2"/>
    <n v="2"/>
    <n v="50000"/>
    <n v="2"/>
    <n v="100000"/>
    <n v="2000"/>
    <x v="67"/>
    <x v="67"/>
  </r>
  <r>
    <n v="1291"/>
    <s v="2025-12-10"/>
    <s v="Rahul"/>
    <x v="0"/>
    <x v="0"/>
    <n v="7"/>
    <n v="10000"/>
    <n v="15"/>
    <n v="70000"/>
    <n v="10500"/>
    <x v="16"/>
    <x v="16"/>
  </r>
  <r>
    <n v="1292"/>
    <s v="2025-06-10"/>
    <s v="Anil"/>
    <x v="2"/>
    <x v="8"/>
    <n v="8"/>
    <n v="10000"/>
    <n v="0"/>
    <n v="80000"/>
    <n v="0"/>
    <x v="72"/>
    <x v="72"/>
  </r>
  <r>
    <n v="1293"/>
    <s v="2025-04-14"/>
    <s v="Ravi"/>
    <x v="1"/>
    <x v="3"/>
    <n v="4"/>
    <n v="50000"/>
    <n v="15"/>
    <n v="200000"/>
    <n v="30000"/>
    <x v="150"/>
    <x v="150"/>
  </r>
  <r>
    <n v="1294"/>
    <s v="2025-07-06"/>
    <s v="Rahul"/>
    <x v="1"/>
    <x v="6"/>
    <n v="5"/>
    <n v="20000"/>
    <n v="0"/>
    <n v="100000"/>
    <n v="0"/>
    <x v="144"/>
    <x v="144"/>
  </r>
  <r>
    <n v="1295"/>
    <s v="2025-10-16"/>
    <s v="Naveen"/>
    <x v="2"/>
    <x v="5"/>
    <n v="4"/>
    <n v="500"/>
    <n v="15"/>
    <n v="2000"/>
    <n v="300"/>
    <x v="153"/>
    <x v="153"/>
  </r>
  <r>
    <n v="1296"/>
    <s v="2025-06-03"/>
    <s v="Lakshmi"/>
    <x v="2"/>
    <x v="8"/>
    <n v="6"/>
    <n v="20000"/>
    <n v="5"/>
    <n v="120000"/>
    <n v="6000"/>
    <x v="104"/>
    <x v="104"/>
  </r>
  <r>
    <n v="1297"/>
    <s v="2025-04-22"/>
    <s v="Lakshmi"/>
    <x v="2"/>
    <x v="8"/>
    <n v="2"/>
    <n v="1200"/>
    <n v="10"/>
    <n v="2400"/>
    <n v="240"/>
    <x v="12"/>
    <x v="12"/>
  </r>
  <r>
    <n v="1298"/>
    <s v="2025-12-13"/>
    <s v="Priya"/>
    <x v="2"/>
    <x v="8"/>
    <n v="1"/>
    <n v="20000"/>
    <n v="0"/>
    <n v="20000"/>
    <n v="0"/>
    <x v="21"/>
    <x v="21"/>
  </r>
  <r>
    <n v="1299"/>
    <s v="2025-06-26"/>
    <s v="Ravi"/>
    <x v="0"/>
    <x v="1"/>
    <n v="4"/>
    <n v="10000"/>
    <n v="0"/>
    <n v="40000"/>
    <n v="0"/>
    <x v="26"/>
    <x v="26"/>
  </r>
  <r>
    <n v="1300"/>
    <s v="2025-03-29"/>
    <s v="Pooja"/>
    <x v="2"/>
    <x v="5"/>
    <n v="7"/>
    <n v="5000"/>
    <n v="15"/>
    <n v="35000"/>
    <n v="5250"/>
    <x v="141"/>
    <x v="141"/>
  </r>
  <r>
    <n v="1301"/>
    <s v="2025-03-25"/>
    <s v="Suresh"/>
    <x v="2"/>
    <x v="7"/>
    <n v="3"/>
    <n v="500"/>
    <n v="15"/>
    <n v="1500"/>
    <n v="225"/>
    <x v="156"/>
    <x v="156"/>
  </r>
  <r>
    <n v="1302"/>
    <s v="2025-06-23"/>
    <s v="Lakshmi"/>
    <x v="0"/>
    <x v="0"/>
    <n v="5"/>
    <n v="800"/>
    <n v="5"/>
    <n v="4000"/>
    <n v="200"/>
    <x v="100"/>
    <x v="100"/>
  </r>
  <r>
    <n v="1303"/>
    <s v="2025-04-27"/>
    <s v="Lakshmi"/>
    <x v="1"/>
    <x v="6"/>
    <n v="3"/>
    <n v="5000"/>
    <n v="10"/>
    <n v="15000"/>
    <n v="1500"/>
    <x v="93"/>
    <x v="93"/>
  </r>
  <r>
    <n v="1304"/>
    <s v="2025-12-15"/>
    <s v="Kiran"/>
    <x v="1"/>
    <x v="6"/>
    <n v="6"/>
    <n v="5000"/>
    <n v="5"/>
    <n v="30000"/>
    <n v="1500"/>
    <x v="64"/>
    <x v="64"/>
  </r>
  <r>
    <n v="1305"/>
    <s v="2025-07-02"/>
    <s v="Naveen"/>
    <x v="0"/>
    <x v="1"/>
    <n v="3"/>
    <n v="50000"/>
    <n v="0"/>
    <n v="150000"/>
    <n v="0"/>
    <x v="157"/>
    <x v="157"/>
  </r>
  <r>
    <n v="1306"/>
    <s v="2025-03-27"/>
    <s v="Ravi"/>
    <x v="1"/>
    <x v="6"/>
    <n v="9"/>
    <n v="500"/>
    <n v="2"/>
    <n v="4500"/>
    <n v="90"/>
    <x v="158"/>
    <x v="158"/>
  </r>
  <r>
    <n v="1307"/>
    <s v="2025-02-05"/>
    <s v="Kiran"/>
    <x v="1"/>
    <x v="4"/>
    <n v="5"/>
    <n v="10000"/>
    <n v="5"/>
    <n v="50000"/>
    <n v="2500"/>
    <x v="25"/>
    <x v="25"/>
  </r>
  <r>
    <n v="1308"/>
    <s v="2025-04-19"/>
    <s v="Priya"/>
    <x v="0"/>
    <x v="2"/>
    <n v="10"/>
    <n v="10000"/>
    <n v="2"/>
    <n v="100000"/>
    <n v="2000"/>
    <x v="67"/>
    <x v="67"/>
  </r>
  <r>
    <n v="1309"/>
    <s v="2025-02-12"/>
    <s v="Suresh"/>
    <x v="2"/>
    <x v="8"/>
    <n v="6"/>
    <n v="800"/>
    <n v="5"/>
    <n v="4800"/>
    <n v="240"/>
    <x v="88"/>
    <x v="88"/>
  </r>
  <r>
    <n v="1310"/>
    <s v="2025-07-13"/>
    <s v="Lakshmi"/>
    <x v="2"/>
    <x v="5"/>
    <n v="1"/>
    <n v="10000"/>
    <n v="0"/>
    <n v="10000"/>
    <n v="0"/>
    <x v="61"/>
    <x v="61"/>
  </r>
  <r>
    <n v="1311"/>
    <s v="2025-09-29"/>
    <s v="Ravi"/>
    <x v="0"/>
    <x v="1"/>
    <n v="9"/>
    <n v="2500"/>
    <n v="5"/>
    <n v="22500"/>
    <n v="1125"/>
    <x v="159"/>
    <x v="159"/>
  </r>
  <r>
    <n v="1312"/>
    <s v="2025-08-27"/>
    <s v="Priya"/>
    <x v="1"/>
    <x v="3"/>
    <n v="9"/>
    <n v="20000"/>
    <n v="5"/>
    <n v="180000"/>
    <n v="9000"/>
    <x v="160"/>
    <x v="160"/>
  </r>
  <r>
    <n v="1313"/>
    <s v="2025-07-05"/>
    <s v="Anil"/>
    <x v="0"/>
    <x v="0"/>
    <n v="9"/>
    <n v="1200"/>
    <n v="0"/>
    <n v="10800"/>
    <n v="0"/>
    <x v="161"/>
    <x v="161"/>
  </r>
  <r>
    <n v="1314"/>
    <s v="2025-01-13"/>
    <s v="Suresh"/>
    <x v="2"/>
    <x v="8"/>
    <n v="5"/>
    <n v="1200"/>
    <n v="2"/>
    <n v="6000"/>
    <n v="120"/>
    <x v="84"/>
    <x v="84"/>
  </r>
  <r>
    <n v="1315"/>
    <s v="2025-10-30"/>
    <s v="Naveen"/>
    <x v="2"/>
    <x v="8"/>
    <n v="5"/>
    <n v="500"/>
    <n v="15"/>
    <n v="2500"/>
    <n v="375"/>
    <x v="4"/>
    <x v="4"/>
  </r>
  <r>
    <n v="1316"/>
    <s v="2025-02-23"/>
    <s v="Suresh"/>
    <x v="2"/>
    <x v="7"/>
    <n v="3"/>
    <n v="500"/>
    <n v="5"/>
    <n v="1500"/>
    <n v="75"/>
    <x v="162"/>
    <x v="162"/>
  </r>
  <r>
    <n v="1317"/>
    <s v="2025-08-16"/>
    <s v="Pooja"/>
    <x v="1"/>
    <x v="4"/>
    <n v="9"/>
    <n v="20000"/>
    <n v="15"/>
    <n v="180000"/>
    <n v="27000"/>
    <x v="125"/>
    <x v="125"/>
  </r>
  <r>
    <n v="1318"/>
    <s v="2025-10-28"/>
    <s v="Lakshmi"/>
    <x v="0"/>
    <x v="2"/>
    <n v="7"/>
    <n v="800"/>
    <n v="5"/>
    <n v="5600"/>
    <n v="280"/>
    <x v="147"/>
    <x v="147"/>
  </r>
  <r>
    <n v="1319"/>
    <s v="2025-01-29"/>
    <s v="Pooja"/>
    <x v="2"/>
    <x v="5"/>
    <n v="8"/>
    <n v="20000"/>
    <n v="5"/>
    <n v="160000"/>
    <n v="8000"/>
    <x v="163"/>
    <x v="163"/>
  </r>
  <r>
    <n v="1320"/>
    <s v="2025-02-15"/>
    <s v="Lakshmi"/>
    <x v="2"/>
    <x v="8"/>
    <n v="6"/>
    <n v="1200"/>
    <n v="0"/>
    <n v="7200"/>
    <n v="0"/>
    <x v="3"/>
    <x v="3"/>
  </r>
  <r>
    <n v="1321"/>
    <s v="2025-05-30"/>
    <s v="Anil"/>
    <x v="0"/>
    <x v="1"/>
    <n v="10"/>
    <n v="800"/>
    <n v="0"/>
    <n v="8000"/>
    <n v="0"/>
    <x v="75"/>
    <x v="75"/>
  </r>
  <r>
    <n v="1322"/>
    <s v="2025-05-31"/>
    <s v="Priya"/>
    <x v="1"/>
    <x v="4"/>
    <n v="5"/>
    <n v="5000"/>
    <n v="0"/>
    <n v="25000"/>
    <n v="0"/>
    <x v="40"/>
    <x v="40"/>
  </r>
  <r>
    <n v="1323"/>
    <s v="2025-04-23"/>
    <s v="Kiran"/>
    <x v="1"/>
    <x v="3"/>
    <n v="6"/>
    <n v="500"/>
    <n v="0"/>
    <n v="3000"/>
    <n v="0"/>
    <x v="99"/>
    <x v="99"/>
  </r>
  <r>
    <n v="1324"/>
    <s v="2025-07-01"/>
    <s v="Lakshmi"/>
    <x v="2"/>
    <x v="8"/>
    <n v="2"/>
    <n v="20000"/>
    <n v="0"/>
    <n v="40000"/>
    <n v="0"/>
    <x v="26"/>
    <x v="26"/>
  </r>
  <r>
    <n v="1325"/>
    <s v="2025-01-11"/>
    <s v="Kiran"/>
    <x v="0"/>
    <x v="0"/>
    <n v="3"/>
    <n v="50000"/>
    <n v="0"/>
    <n v="150000"/>
    <n v="0"/>
    <x v="157"/>
    <x v="157"/>
  </r>
  <r>
    <n v="1326"/>
    <s v="2025-12-16"/>
    <s v="Deepa"/>
    <x v="1"/>
    <x v="3"/>
    <n v="4"/>
    <n v="800"/>
    <n v="5"/>
    <n v="3200"/>
    <n v="160"/>
    <x v="164"/>
    <x v="164"/>
  </r>
  <r>
    <n v="1327"/>
    <s v="2025-01-21"/>
    <s v="Suresh"/>
    <x v="0"/>
    <x v="2"/>
    <n v="5"/>
    <n v="500"/>
    <n v="10"/>
    <n v="2500"/>
    <n v="250"/>
    <x v="165"/>
    <x v="165"/>
  </r>
  <r>
    <n v="1328"/>
    <s v="2025-11-10"/>
    <s v="Kiran"/>
    <x v="1"/>
    <x v="4"/>
    <n v="9"/>
    <n v="5000"/>
    <n v="2"/>
    <n v="45000"/>
    <n v="900"/>
    <x v="166"/>
    <x v="166"/>
  </r>
  <r>
    <n v="1329"/>
    <s v="2025-05-23"/>
    <s v="Kiran"/>
    <x v="2"/>
    <x v="7"/>
    <n v="1"/>
    <n v="50000"/>
    <n v="0"/>
    <n v="50000"/>
    <n v="0"/>
    <x v="119"/>
    <x v="119"/>
  </r>
  <r>
    <n v="1330"/>
    <s v="2025-06-20"/>
    <s v="Suresh"/>
    <x v="2"/>
    <x v="8"/>
    <n v="8"/>
    <n v="500"/>
    <n v="0"/>
    <n v="4000"/>
    <n v="0"/>
    <x v="167"/>
    <x v="167"/>
  </r>
  <r>
    <n v="1331"/>
    <s v="2025-12-02"/>
    <s v="Rahul"/>
    <x v="2"/>
    <x v="7"/>
    <n v="1"/>
    <n v="800"/>
    <n v="0"/>
    <n v="800"/>
    <n v="0"/>
    <x v="129"/>
    <x v="129"/>
  </r>
  <r>
    <n v="1332"/>
    <s v="2025-10-06"/>
    <s v="Pooja"/>
    <x v="2"/>
    <x v="5"/>
    <n v="5"/>
    <n v="800"/>
    <n v="0"/>
    <n v="4000"/>
    <n v="0"/>
    <x v="167"/>
    <x v="167"/>
  </r>
  <r>
    <n v="1333"/>
    <s v="2025-07-08"/>
    <s v="Kiran"/>
    <x v="2"/>
    <x v="5"/>
    <n v="9"/>
    <n v="50000"/>
    <n v="10"/>
    <n v="450000"/>
    <n v="45000"/>
    <x v="27"/>
    <x v="27"/>
  </r>
  <r>
    <n v="1334"/>
    <s v="2025-06-14"/>
    <s v="Anil"/>
    <x v="1"/>
    <x v="3"/>
    <n v="1"/>
    <n v="10000"/>
    <n v="5"/>
    <n v="10000"/>
    <n v="500"/>
    <x v="168"/>
    <x v="168"/>
  </r>
  <r>
    <n v="1335"/>
    <s v="2025-05-08"/>
    <s v="Ravi"/>
    <x v="0"/>
    <x v="1"/>
    <n v="10"/>
    <n v="20000"/>
    <n v="0"/>
    <n v="200000"/>
    <n v="0"/>
    <x v="32"/>
    <x v="32"/>
  </r>
  <r>
    <n v="1336"/>
    <s v="2025-01-12"/>
    <s v="Suresh"/>
    <x v="2"/>
    <x v="7"/>
    <n v="7"/>
    <n v="2500"/>
    <n v="0"/>
    <n v="17500"/>
    <n v="0"/>
    <x v="81"/>
    <x v="81"/>
  </r>
  <r>
    <n v="1337"/>
    <s v="2025-10-13"/>
    <s v="Priya"/>
    <x v="2"/>
    <x v="8"/>
    <n v="4"/>
    <n v="5000"/>
    <n v="2"/>
    <n v="20000"/>
    <n v="400"/>
    <x v="47"/>
    <x v="47"/>
  </r>
  <r>
    <n v="1338"/>
    <s v="2025-03-28"/>
    <s v="Lakshmi"/>
    <x v="0"/>
    <x v="0"/>
    <n v="7"/>
    <n v="2500"/>
    <n v="10"/>
    <n v="17500"/>
    <n v="1750"/>
    <x v="169"/>
    <x v="169"/>
  </r>
  <r>
    <n v="1339"/>
    <s v="2025-12-01"/>
    <s v="Deepa"/>
    <x v="2"/>
    <x v="8"/>
    <n v="2"/>
    <n v="2500"/>
    <n v="2"/>
    <n v="5000"/>
    <n v="100"/>
    <x v="50"/>
    <x v="50"/>
  </r>
  <r>
    <n v="1340"/>
    <s v="2025-11-24"/>
    <s v="Anil"/>
    <x v="0"/>
    <x v="2"/>
    <n v="10"/>
    <n v="2500"/>
    <n v="2"/>
    <n v="25000"/>
    <n v="500"/>
    <x v="34"/>
    <x v="34"/>
  </r>
  <r>
    <n v="1341"/>
    <s v="2025-03-24"/>
    <s v="Rahul"/>
    <x v="0"/>
    <x v="0"/>
    <n v="4"/>
    <n v="1200"/>
    <n v="15"/>
    <n v="4800"/>
    <n v="720"/>
    <x v="70"/>
    <x v="70"/>
  </r>
  <r>
    <n v="1342"/>
    <s v="2025-04-12"/>
    <s v="Suresh"/>
    <x v="2"/>
    <x v="8"/>
    <n v="2"/>
    <n v="800"/>
    <n v="15"/>
    <n v="1600"/>
    <n v="240"/>
    <x v="170"/>
    <x v="170"/>
  </r>
  <r>
    <n v="1343"/>
    <s v="2025-07-06"/>
    <s v="Priya"/>
    <x v="2"/>
    <x v="5"/>
    <n v="8"/>
    <n v="50000"/>
    <n v="2"/>
    <n v="400000"/>
    <n v="8000"/>
    <x v="171"/>
    <x v="171"/>
  </r>
  <r>
    <n v="1344"/>
    <s v="2025-03-23"/>
    <s v="Rahul"/>
    <x v="2"/>
    <x v="7"/>
    <n v="5"/>
    <n v="50000"/>
    <n v="10"/>
    <n v="250000"/>
    <n v="25000"/>
    <x v="172"/>
    <x v="172"/>
  </r>
  <r>
    <n v="1345"/>
    <s v="2025-04-19"/>
    <s v="Suresh"/>
    <x v="2"/>
    <x v="8"/>
    <n v="3"/>
    <n v="2500"/>
    <n v="5"/>
    <n v="7500"/>
    <n v="375"/>
    <x v="173"/>
    <x v="173"/>
  </r>
  <r>
    <n v="1346"/>
    <s v="2025-04-24"/>
    <s v="Pooja"/>
    <x v="1"/>
    <x v="6"/>
    <n v="5"/>
    <n v="10000"/>
    <n v="5"/>
    <n v="50000"/>
    <n v="2500"/>
    <x v="25"/>
    <x v="25"/>
  </r>
  <r>
    <n v="1347"/>
    <s v="2025-09-03"/>
    <s v="Suresh"/>
    <x v="0"/>
    <x v="1"/>
    <n v="7"/>
    <n v="5000"/>
    <n v="10"/>
    <n v="35000"/>
    <n v="3500"/>
    <x v="59"/>
    <x v="59"/>
  </r>
  <r>
    <n v="1348"/>
    <s v="2025-01-12"/>
    <s v="Lakshmi"/>
    <x v="2"/>
    <x v="5"/>
    <n v="6"/>
    <n v="500"/>
    <n v="2"/>
    <n v="3000"/>
    <n v="60"/>
    <x v="20"/>
    <x v="20"/>
  </r>
  <r>
    <n v="1349"/>
    <s v="2025-06-06"/>
    <s v="Ravi"/>
    <x v="2"/>
    <x v="8"/>
    <n v="6"/>
    <n v="800"/>
    <n v="2"/>
    <n v="4800"/>
    <n v="96"/>
    <x v="139"/>
    <x v="139"/>
  </r>
  <r>
    <n v="1350"/>
    <s v="2025-03-21"/>
    <s v="Anil"/>
    <x v="2"/>
    <x v="8"/>
    <n v="3"/>
    <n v="10000"/>
    <n v="2"/>
    <n v="30000"/>
    <n v="600"/>
    <x v="63"/>
    <x v="63"/>
  </r>
  <r>
    <n v="1351"/>
    <s v="2025-01-26"/>
    <s v="Lakshmi"/>
    <x v="2"/>
    <x v="8"/>
    <n v="5"/>
    <n v="50000"/>
    <n v="2"/>
    <n v="250000"/>
    <n v="5000"/>
    <x v="174"/>
    <x v="174"/>
  </r>
  <r>
    <n v="1352"/>
    <s v="2025-06-06"/>
    <s v="Lakshmi"/>
    <x v="0"/>
    <x v="1"/>
    <n v="9"/>
    <n v="5000"/>
    <n v="15"/>
    <n v="45000"/>
    <n v="6750"/>
    <x v="175"/>
    <x v="175"/>
  </r>
  <r>
    <n v="1353"/>
    <s v="2025-06-03"/>
    <s v="Anil"/>
    <x v="1"/>
    <x v="3"/>
    <n v="1"/>
    <n v="1200"/>
    <n v="2"/>
    <n v="1200"/>
    <n v="24"/>
    <x v="176"/>
    <x v="176"/>
  </r>
  <r>
    <n v="1354"/>
    <s v="2025-12-21"/>
    <s v="Suresh"/>
    <x v="2"/>
    <x v="5"/>
    <n v="3"/>
    <n v="800"/>
    <n v="5"/>
    <n v="2400"/>
    <n v="120"/>
    <x v="154"/>
    <x v="154"/>
  </r>
  <r>
    <n v="1355"/>
    <s v="2025-02-05"/>
    <s v="Kiran"/>
    <x v="0"/>
    <x v="2"/>
    <n v="3"/>
    <n v="10000"/>
    <n v="0"/>
    <n v="30000"/>
    <n v="0"/>
    <x v="177"/>
    <x v="177"/>
  </r>
  <r>
    <n v="1356"/>
    <s v="2025-11-30"/>
    <s v="Priya"/>
    <x v="1"/>
    <x v="3"/>
    <n v="4"/>
    <n v="2500"/>
    <n v="10"/>
    <n v="10000"/>
    <n v="1000"/>
    <x v="0"/>
    <x v="0"/>
  </r>
  <r>
    <n v="1357"/>
    <s v="2025-06-05"/>
    <s v="Anil"/>
    <x v="2"/>
    <x v="7"/>
    <n v="3"/>
    <n v="800"/>
    <n v="2"/>
    <n v="2400"/>
    <n v="48"/>
    <x v="122"/>
    <x v="122"/>
  </r>
  <r>
    <n v="1358"/>
    <s v="2025-12-04"/>
    <s v="Kiran"/>
    <x v="2"/>
    <x v="8"/>
    <n v="9"/>
    <n v="800"/>
    <n v="10"/>
    <n v="7200"/>
    <n v="720"/>
    <x v="51"/>
    <x v="51"/>
  </r>
  <r>
    <n v="1359"/>
    <s v="2025-05-31"/>
    <s v="Anil"/>
    <x v="1"/>
    <x v="3"/>
    <n v="3"/>
    <n v="20000"/>
    <n v="15"/>
    <n v="60000"/>
    <n v="9000"/>
    <x v="178"/>
    <x v="178"/>
  </r>
  <r>
    <n v="1360"/>
    <s v="2025-02-01"/>
    <s v="Suresh"/>
    <x v="1"/>
    <x v="6"/>
    <n v="9"/>
    <n v="1200"/>
    <n v="15"/>
    <n v="10800"/>
    <n v="1620"/>
    <x v="179"/>
    <x v="179"/>
  </r>
  <r>
    <n v="1361"/>
    <s v="2025-12-25"/>
    <s v="Kiran"/>
    <x v="1"/>
    <x v="6"/>
    <n v="1"/>
    <n v="20000"/>
    <n v="15"/>
    <n v="20000"/>
    <n v="3000"/>
    <x v="30"/>
    <x v="30"/>
  </r>
  <r>
    <n v="1362"/>
    <s v="2025-01-14"/>
    <s v="Ravi"/>
    <x v="2"/>
    <x v="8"/>
    <n v="9"/>
    <n v="50000"/>
    <n v="5"/>
    <n v="450000"/>
    <n v="22500"/>
    <x v="140"/>
    <x v="140"/>
  </r>
  <r>
    <n v="1363"/>
    <s v="2025-05-02"/>
    <s v="Kiran"/>
    <x v="2"/>
    <x v="5"/>
    <n v="5"/>
    <n v="10000"/>
    <n v="15"/>
    <n v="50000"/>
    <n v="7500"/>
    <x v="78"/>
    <x v="78"/>
  </r>
  <r>
    <n v="1364"/>
    <s v="2025-08-14"/>
    <s v="Anil"/>
    <x v="0"/>
    <x v="1"/>
    <n v="3"/>
    <n v="50000"/>
    <n v="2"/>
    <n v="150000"/>
    <n v="3000"/>
    <x v="10"/>
    <x v="10"/>
  </r>
  <r>
    <n v="1365"/>
    <s v="2025-09-20"/>
    <s v="Rahul"/>
    <x v="1"/>
    <x v="4"/>
    <n v="3"/>
    <n v="800"/>
    <n v="2"/>
    <n v="2400"/>
    <n v="48"/>
    <x v="122"/>
    <x v="122"/>
  </r>
  <r>
    <n v="1366"/>
    <s v="2025-05-14"/>
    <s v="Naveen"/>
    <x v="0"/>
    <x v="1"/>
    <n v="4"/>
    <n v="1200"/>
    <n v="2"/>
    <n v="4800"/>
    <n v="96"/>
    <x v="139"/>
    <x v="139"/>
  </r>
  <r>
    <n v="1367"/>
    <s v="2025-11-23"/>
    <s v="Suresh"/>
    <x v="1"/>
    <x v="4"/>
    <n v="10"/>
    <n v="1200"/>
    <n v="10"/>
    <n v="12000"/>
    <n v="1200"/>
    <x v="161"/>
    <x v="161"/>
  </r>
  <r>
    <n v="1368"/>
    <s v="2025-01-28"/>
    <s v="Priya"/>
    <x v="2"/>
    <x v="8"/>
    <n v="9"/>
    <n v="2500"/>
    <n v="2"/>
    <n v="22500"/>
    <n v="450"/>
    <x v="180"/>
    <x v="180"/>
  </r>
  <r>
    <n v="1369"/>
    <s v="2025-12-03"/>
    <s v="Anil"/>
    <x v="1"/>
    <x v="3"/>
    <n v="5"/>
    <n v="10000"/>
    <n v="15"/>
    <n v="50000"/>
    <n v="7500"/>
    <x v="78"/>
    <x v="78"/>
  </r>
  <r>
    <n v="1370"/>
    <s v="2025-09-29"/>
    <s v="Priya"/>
    <x v="2"/>
    <x v="8"/>
    <n v="4"/>
    <n v="5000"/>
    <n v="5"/>
    <n v="20000"/>
    <n v="1000"/>
    <x v="35"/>
    <x v="35"/>
  </r>
  <r>
    <n v="1371"/>
    <s v="2025-08-15"/>
    <s v="Lakshmi"/>
    <x v="1"/>
    <x v="4"/>
    <n v="3"/>
    <n v="800"/>
    <n v="2"/>
    <n v="2400"/>
    <n v="48"/>
    <x v="122"/>
    <x v="122"/>
  </r>
  <r>
    <n v="1372"/>
    <s v="2025-10-19"/>
    <s v="Priya"/>
    <x v="2"/>
    <x v="7"/>
    <n v="4"/>
    <n v="800"/>
    <n v="5"/>
    <n v="3200"/>
    <n v="160"/>
    <x v="164"/>
    <x v="164"/>
  </r>
  <r>
    <n v="1373"/>
    <s v="2025-01-03"/>
    <s v="Ravi"/>
    <x v="1"/>
    <x v="3"/>
    <n v="8"/>
    <n v="10000"/>
    <n v="2"/>
    <n v="80000"/>
    <n v="1600"/>
    <x v="181"/>
    <x v="181"/>
  </r>
  <r>
    <n v="1374"/>
    <s v="2025-08-07"/>
    <s v="Deepa"/>
    <x v="1"/>
    <x v="6"/>
    <n v="4"/>
    <n v="2500"/>
    <n v="0"/>
    <n v="10000"/>
    <n v="0"/>
    <x v="61"/>
    <x v="61"/>
  </r>
  <r>
    <n v="1375"/>
    <s v="2025-12-28"/>
    <s v="Priya"/>
    <x v="2"/>
    <x v="7"/>
    <n v="3"/>
    <n v="2500"/>
    <n v="2"/>
    <n v="7500"/>
    <n v="150"/>
    <x v="124"/>
    <x v="124"/>
  </r>
  <r>
    <n v="1376"/>
    <s v="2025-11-19"/>
    <s v="Deepa"/>
    <x v="2"/>
    <x v="5"/>
    <n v="6"/>
    <n v="20000"/>
    <n v="5"/>
    <n v="120000"/>
    <n v="6000"/>
    <x v="104"/>
    <x v="104"/>
  </r>
  <r>
    <n v="1377"/>
    <s v="2025-05-30"/>
    <s v="Suresh"/>
    <x v="1"/>
    <x v="4"/>
    <n v="4"/>
    <n v="500"/>
    <n v="0"/>
    <n v="2000"/>
    <n v="0"/>
    <x v="182"/>
    <x v="182"/>
  </r>
  <r>
    <n v="1378"/>
    <s v="2025-01-24"/>
    <s v="Pooja"/>
    <x v="2"/>
    <x v="7"/>
    <n v="4"/>
    <n v="10000"/>
    <n v="2"/>
    <n v="40000"/>
    <n v="800"/>
    <x v="15"/>
    <x v="15"/>
  </r>
  <r>
    <n v="1379"/>
    <s v="2025-03-25"/>
    <s v="Kiran"/>
    <x v="1"/>
    <x v="4"/>
    <n v="3"/>
    <n v="20000"/>
    <n v="10"/>
    <n v="60000"/>
    <n v="6000"/>
    <x v="183"/>
    <x v="183"/>
  </r>
  <r>
    <n v="1380"/>
    <s v="2025-08-31"/>
    <s v="Deepa"/>
    <x v="1"/>
    <x v="4"/>
    <n v="2"/>
    <n v="500"/>
    <n v="0"/>
    <n v="1000"/>
    <n v="0"/>
    <x v="184"/>
    <x v="184"/>
  </r>
  <r>
    <n v="1381"/>
    <s v="2025-03-24"/>
    <s v="Deepa"/>
    <x v="2"/>
    <x v="8"/>
    <n v="1"/>
    <n v="10000"/>
    <n v="2"/>
    <n v="10000"/>
    <n v="200"/>
    <x v="110"/>
    <x v="110"/>
  </r>
  <r>
    <n v="1382"/>
    <s v="2025-12-31"/>
    <s v="Suresh"/>
    <x v="2"/>
    <x v="8"/>
    <n v="7"/>
    <n v="50000"/>
    <n v="0"/>
    <n v="350000"/>
    <n v="0"/>
    <x v="71"/>
    <x v="71"/>
  </r>
  <r>
    <n v="1383"/>
    <s v="2025-08-28"/>
    <s v="Kiran"/>
    <x v="0"/>
    <x v="0"/>
    <n v="7"/>
    <n v="500"/>
    <n v="10"/>
    <n v="3500"/>
    <n v="350"/>
    <x v="185"/>
    <x v="185"/>
  </r>
  <r>
    <n v="1384"/>
    <s v="2025-02-11"/>
    <s v="Rahul"/>
    <x v="1"/>
    <x v="4"/>
    <n v="8"/>
    <n v="5000"/>
    <n v="10"/>
    <n v="40000"/>
    <n v="4000"/>
    <x v="186"/>
    <x v="186"/>
  </r>
  <r>
    <n v="1385"/>
    <s v="2025-08-25"/>
    <s v="Rahul"/>
    <x v="0"/>
    <x v="2"/>
    <n v="2"/>
    <n v="500"/>
    <n v="5"/>
    <n v="1000"/>
    <n v="50"/>
    <x v="187"/>
    <x v="187"/>
  </r>
  <r>
    <n v="1386"/>
    <s v="2025-02-05"/>
    <s v="Deepa"/>
    <x v="2"/>
    <x v="8"/>
    <n v="2"/>
    <n v="500"/>
    <n v="15"/>
    <n v="1000"/>
    <n v="150"/>
    <x v="23"/>
    <x v="23"/>
  </r>
  <r>
    <n v="1387"/>
    <s v="2025-10-08"/>
    <s v="Kiran"/>
    <x v="2"/>
    <x v="7"/>
    <n v="10"/>
    <n v="5000"/>
    <n v="15"/>
    <n v="50000"/>
    <n v="7500"/>
    <x v="78"/>
    <x v="78"/>
  </r>
  <r>
    <n v="1388"/>
    <s v="2025-08-02"/>
    <s v="Lakshmi"/>
    <x v="1"/>
    <x v="6"/>
    <n v="5"/>
    <n v="50000"/>
    <n v="2"/>
    <n v="250000"/>
    <n v="5000"/>
    <x v="174"/>
    <x v="174"/>
  </r>
  <r>
    <n v="1389"/>
    <s v="2025-11-28"/>
    <s v="Naveen"/>
    <x v="1"/>
    <x v="4"/>
    <n v="2"/>
    <n v="1200"/>
    <n v="2"/>
    <n v="2400"/>
    <n v="48"/>
    <x v="122"/>
    <x v="122"/>
  </r>
  <r>
    <n v="1390"/>
    <s v="2025-11-29"/>
    <s v="Suresh"/>
    <x v="2"/>
    <x v="5"/>
    <n v="5"/>
    <n v="2500"/>
    <n v="2"/>
    <n v="12500"/>
    <n v="250"/>
    <x v="188"/>
    <x v="188"/>
  </r>
  <r>
    <n v="1391"/>
    <s v="2025-03-24"/>
    <s v="Anil"/>
    <x v="0"/>
    <x v="0"/>
    <n v="10"/>
    <n v="800"/>
    <n v="5"/>
    <n v="8000"/>
    <n v="400"/>
    <x v="189"/>
    <x v="189"/>
  </r>
  <r>
    <n v="1392"/>
    <s v="2025-09-18"/>
    <s v="Kiran"/>
    <x v="2"/>
    <x v="8"/>
    <n v="1"/>
    <n v="50000"/>
    <n v="5"/>
    <n v="50000"/>
    <n v="2500"/>
    <x v="25"/>
    <x v="25"/>
  </r>
  <r>
    <n v="1393"/>
    <s v="2025-08-19"/>
    <s v="Rahul"/>
    <x v="2"/>
    <x v="8"/>
    <n v="7"/>
    <n v="5000"/>
    <n v="2"/>
    <n v="35000"/>
    <n v="700"/>
    <x v="190"/>
    <x v="190"/>
  </r>
  <r>
    <n v="1394"/>
    <s v="2025-08-20"/>
    <s v="Naveen"/>
    <x v="0"/>
    <x v="1"/>
    <n v="9"/>
    <n v="800"/>
    <n v="10"/>
    <n v="7200"/>
    <n v="720"/>
    <x v="51"/>
    <x v="51"/>
  </r>
  <r>
    <n v="1395"/>
    <s v="2025-07-30"/>
    <s v="Deepa"/>
    <x v="0"/>
    <x v="1"/>
    <n v="1"/>
    <n v="500"/>
    <n v="5"/>
    <n v="500"/>
    <n v="25"/>
    <x v="151"/>
    <x v="151"/>
  </r>
  <r>
    <n v="1396"/>
    <s v="2025-04-03"/>
    <s v="Rahul"/>
    <x v="0"/>
    <x v="0"/>
    <n v="1"/>
    <n v="500"/>
    <n v="5"/>
    <n v="500"/>
    <n v="25"/>
    <x v="151"/>
    <x v="151"/>
  </r>
  <r>
    <n v="1397"/>
    <s v="2025-02-05"/>
    <s v="Pooja"/>
    <x v="1"/>
    <x v="3"/>
    <n v="1"/>
    <n v="50000"/>
    <n v="10"/>
    <n v="50000"/>
    <n v="5000"/>
    <x v="82"/>
    <x v="82"/>
  </r>
  <r>
    <n v="1398"/>
    <s v="2025-02-10"/>
    <s v="Rahul"/>
    <x v="1"/>
    <x v="6"/>
    <n v="6"/>
    <n v="50000"/>
    <n v="5"/>
    <n v="300000"/>
    <n v="15000"/>
    <x v="98"/>
    <x v="98"/>
  </r>
  <r>
    <n v="1399"/>
    <s v="2025-04-28"/>
    <s v="Pooja"/>
    <x v="0"/>
    <x v="2"/>
    <n v="2"/>
    <n v="50000"/>
    <n v="10"/>
    <n v="100000"/>
    <n v="10000"/>
    <x v="2"/>
    <x v="2"/>
  </r>
  <r>
    <n v="1400"/>
    <s v="2025-10-07"/>
    <s v="Lakshmi"/>
    <x v="1"/>
    <x v="3"/>
    <n v="5"/>
    <n v="20000"/>
    <n v="10"/>
    <n v="100000"/>
    <n v="10000"/>
    <x v="2"/>
    <x v="2"/>
  </r>
  <r>
    <n v="1401"/>
    <s v="2025-09-24"/>
    <s v="Pooja"/>
    <x v="2"/>
    <x v="7"/>
    <n v="8"/>
    <n v="50000"/>
    <n v="2"/>
    <n v="400000"/>
    <n v="8000"/>
    <x v="171"/>
    <x v="171"/>
  </r>
  <r>
    <n v="1402"/>
    <s v="2025-09-08"/>
    <s v="Rahul"/>
    <x v="2"/>
    <x v="5"/>
    <n v="5"/>
    <n v="2500"/>
    <n v="15"/>
    <n v="12500"/>
    <n v="1875"/>
    <x v="33"/>
    <x v="33"/>
  </r>
  <r>
    <n v="1403"/>
    <s v="2025-06-22"/>
    <s v="Priya"/>
    <x v="2"/>
    <x v="7"/>
    <n v="1"/>
    <n v="1200"/>
    <n v="5"/>
    <n v="1200"/>
    <n v="60"/>
    <x v="86"/>
    <x v="86"/>
  </r>
  <r>
    <n v="1404"/>
    <s v="2025-11-09"/>
    <s v="Naveen"/>
    <x v="2"/>
    <x v="5"/>
    <n v="8"/>
    <n v="1200"/>
    <n v="0"/>
    <n v="9600"/>
    <n v="0"/>
    <x v="191"/>
    <x v="191"/>
  </r>
  <r>
    <n v="1405"/>
    <s v="2025-07-06"/>
    <s v="Ravi"/>
    <x v="0"/>
    <x v="2"/>
    <n v="3"/>
    <n v="20000"/>
    <n v="5"/>
    <n v="60000"/>
    <n v="3000"/>
    <x v="192"/>
    <x v="192"/>
  </r>
  <r>
    <n v="1406"/>
    <s v="2025-11-29"/>
    <s v="Pooja"/>
    <x v="1"/>
    <x v="4"/>
    <n v="3"/>
    <n v="50000"/>
    <n v="0"/>
    <n v="150000"/>
    <n v="0"/>
    <x v="157"/>
    <x v="157"/>
  </r>
  <r>
    <n v="1407"/>
    <s v="2025-02-20"/>
    <s v="Pooja"/>
    <x v="1"/>
    <x v="3"/>
    <n v="7"/>
    <n v="50000"/>
    <n v="15"/>
    <n v="350000"/>
    <n v="52500"/>
    <x v="193"/>
    <x v="193"/>
  </r>
  <r>
    <n v="1408"/>
    <s v="2025-10-04"/>
    <s v="Kiran"/>
    <x v="2"/>
    <x v="5"/>
    <n v="10"/>
    <n v="2500"/>
    <n v="15"/>
    <n v="25000"/>
    <n v="3750"/>
    <x v="69"/>
    <x v="69"/>
  </r>
  <r>
    <n v="1409"/>
    <s v="2025-07-12"/>
    <s v="Pooja"/>
    <x v="0"/>
    <x v="1"/>
    <n v="9"/>
    <n v="800"/>
    <n v="10"/>
    <n v="7200"/>
    <n v="720"/>
    <x v="51"/>
    <x v="51"/>
  </r>
  <r>
    <n v="1410"/>
    <s v="2025-08-05"/>
    <s v="Ravi"/>
    <x v="2"/>
    <x v="7"/>
    <n v="7"/>
    <n v="20000"/>
    <n v="10"/>
    <n v="140000"/>
    <n v="14000"/>
    <x v="143"/>
    <x v="143"/>
  </r>
  <r>
    <n v="1411"/>
    <s v="2025-05-30"/>
    <s v="Suresh"/>
    <x v="1"/>
    <x v="4"/>
    <n v="8"/>
    <n v="10000"/>
    <n v="15"/>
    <n v="80000"/>
    <n v="12000"/>
    <x v="194"/>
    <x v="194"/>
  </r>
  <r>
    <n v="1412"/>
    <s v="2025-01-01"/>
    <s v="Priya"/>
    <x v="1"/>
    <x v="4"/>
    <n v="2"/>
    <n v="1200"/>
    <n v="5"/>
    <n v="2400"/>
    <n v="120"/>
    <x v="154"/>
    <x v="154"/>
  </r>
  <r>
    <n v="1413"/>
    <s v="2025-11-27"/>
    <s v="Kiran"/>
    <x v="2"/>
    <x v="8"/>
    <n v="5"/>
    <n v="800"/>
    <n v="15"/>
    <n v="4000"/>
    <n v="600"/>
    <x v="111"/>
    <x v="111"/>
  </r>
  <r>
    <n v="1414"/>
    <s v="2025-11-10"/>
    <s v="Anil"/>
    <x v="1"/>
    <x v="6"/>
    <n v="10"/>
    <n v="50000"/>
    <n v="0"/>
    <n v="500000"/>
    <n v="0"/>
    <x v="195"/>
    <x v="195"/>
  </r>
  <r>
    <n v="1415"/>
    <s v="2025-02-02"/>
    <s v="Naveen"/>
    <x v="0"/>
    <x v="1"/>
    <n v="2"/>
    <n v="50000"/>
    <n v="10"/>
    <n v="100000"/>
    <n v="10000"/>
    <x v="2"/>
    <x v="2"/>
  </r>
  <r>
    <n v="1416"/>
    <s v="2025-12-13"/>
    <s v="Naveen"/>
    <x v="0"/>
    <x v="2"/>
    <n v="3"/>
    <n v="20000"/>
    <n v="15"/>
    <n v="60000"/>
    <n v="9000"/>
    <x v="178"/>
    <x v="178"/>
  </r>
  <r>
    <n v="1417"/>
    <s v="2025-10-02"/>
    <s v="Kiran"/>
    <x v="2"/>
    <x v="7"/>
    <n v="8"/>
    <n v="1200"/>
    <n v="5"/>
    <n v="9600"/>
    <n v="480"/>
    <x v="103"/>
    <x v="103"/>
  </r>
  <r>
    <n v="1418"/>
    <s v="2025-02-24"/>
    <s v="Ravi"/>
    <x v="0"/>
    <x v="1"/>
    <n v="4"/>
    <n v="50000"/>
    <n v="15"/>
    <n v="200000"/>
    <n v="30000"/>
    <x v="150"/>
    <x v="150"/>
  </r>
  <r>
    <n v="1419"/>
    <s v="2025-09-18"/>
    <s v="Pooja"/>
    <x v="2"/>
    <x v="8"/>
    <n v="8"/>
    <n v="5000"/>
    <n v="5"/>
    <n v="40000"/>
    <n v="2000"/>
    <x v="95"/>
    <x v="95"/>
  </r>
  <r>
    <n v="1420"/>
    <s v="2025-12-18"/>
    <s v="Priya"/>
    <x v="1"/>
    <x v="4"/>
    <n v="4"/>
    <n v="50000"/>
    <n v="2"/>
    <n v="200000"/>
    <n v="4000"/>
    <x v="68"/>
    <x v="68"/>
  </r>
  <r>
    <n v="1421"/>
    <s v="2025-08-30"/>
    <s v="Suresh"/>
    <x v="0"/>
    <x v="1"/>
    <n v="4"/>
    <n v="10000"/>
    <n v="2"/>
    <n v="40000"/>
    <n v="800"/>
    <x v="15"/>
    <x v="15"/>
  </r>
  <r>
    <n v="1422"/>
    <s v="2025-07-15"/>
    <s v="Pooja"/>
    <x v="0"/>
    <x v="1"/>
    <n v="7"/>
    <n v="10000"/>
    <n v="2"/>
    <n v="70000"/>
    <n v="1400"/>
    <x v="196"/>
    <x v="196"/>
  </r>
  <r>
    <n v="1423"/>
    <s v="2025-02-10"/>
    <s v="Deepa"/>
    <x v="0"/>
    <x v="2"/>
    <n v="10"/>
    <n v="20000"/>
    <n v="15"/>
    <n v="200000"/>
    <n v="30000"/>
    <x v="150"/>
    <x v="150"/>
  </r>
  <r>
    <n v="1424"/>
    <s v="2025-02-12"/>
    <s v="Naveen"/>
    <x v="1"/>
    <x v="3"/>
    <n v="10"/>
    <n v="800"/>
    <n v="5"/>
    <n v="8000"/>
    <n v="400"/>
    <x v="189"/>
    <x v="189"/>
  </r>
  <r>
    <n v="1425"/>
    <s v="2025-07-15"/>
    <s v="Suresh"/>
    <x v="2"/>
    <x v="8"/>
    <n v="7"/>
    <n v="50000"/>
    <n v="10"/>
    <n v="350000"/>
    <n v="35000"/>
    <x v="197"/>
    <x v="197"/>
  </r>
  <r>
    <n v="1426"/>
    <s v="2025-10-09"/>
    <s v="Ravi"/>
    <x v="1"/>
    <x v="3"/>
    <n v="9"/>
    <n v="500"/>
    <n v="2"/>
    <n v="4500"/>
    <n v="90"/>
    <x v="158"/>
    <x v="158"/>
  </r>
  <r>
    <n v="1427"/>
    <s v="2025-02-03"/>
    <s v="Kiran"/>
    <x v="1"/>
    <x v="4"/>
    <n v="4"/>
    <n v="800"/>
    <n v="15"/>
    <n v="3200"/>
    <n v="480"/>
    <x v="198"/>
    <x v="198"/>
  </r>
  <r>
    <n v="1428"/>
    <s v="2025-08-26"/>
    <s v="Anil"/>
    <x v="2"/>
    <x v="7"/>
    <n v="3"/>
    <n v="2500"/>
    <n v="2"/>
    <n v="7500"/>
    <n v="150"/>
    <x v="124"/>
    <x v="124"/>
  </r>
  <r>
    <n v="1429"/>
    <s v="2025-06-18"/>
    <s v="Anil"/>
    <x v="0"/>
    <x v="0"/>
    <n v="10"/>
    <n v="2500"/>
    <n v="5"/>
    <n v="25000"/>
    <n v="1250"/>
    <x v="28"/>
    <x v="28"/>
  </r>
  <r>
    <n v="1430"/>
    <s v="2025-07-27"/>
    <s v="Lakshmi"/>
    <x v="1"/>
    <x v="4"/>
    <n v="1"/>
    <n v="500"/>
    <n v="2"/>
    <n v="500"/>
    <n v="10"/>
    <x v="117"/>
    <x v="117"/>
  </r>
  <r>
    <n v="1431"/>
    <s v="2025-07-24"/>
    <s v="Deepa"/>
    <x v="0"/>
    <x v="0"/>
    <n v="9"/>
    <n v="1200"/>
    <n v="10"/>
    <n v="10800"/>
    <n v="1080"/>
    <x v="133"/>
    <x v="133"/>
  </r>
  <r>
    <n v="1432"/>
    <s v="2025-08-10"/>
    <s v="Priya"/>
    <x v="0"/>
    <x v="2"/>
    <n v="2"/>
    <n v="5000"/>
    <n v="10"/>
    <n v="10000"/>
    <n v="1000"/>
    <x v="0"/>
    <x v="0"/>
  </r>
  <r>
    <n v="1433"/>
    <s v="2025-08-13"/>
    <s v="Lakshmi"/>
    <x v="2"/>
    <x v="7"/>
    <n v="5"/>
    <n v="10000"/>
    <n v="2"/>
    <n v="50000"/>
    <n v="1000"/>
    <x v="106"/>
    <x v="106"/>
  </r>
  <r>
    <n v="1434"/>
    <s v="2025-06-14"/>
    <s v="Ravi"/>
    <x v="0"/>
    <x v="0"/>
    <n v="6"/>
    <n v="1200"/>
    <n v="10"/>
    <n v="7200"/>
    <n v="720"/>
    <x v="51"/>
    <x v="51"/>
  </r>
  <r>
    <n v="1435"/>
    <s v="2025-10-02"/>
    <s v="Anil"/>
    <x v="1"/>
    <x v="3"/>
    <n v="2"/>
    <n v="10000"/>
    <n v="5"/>
    <n v="20000"/>
    <n v="1000"/>
    <x v="35"/>
    <x v="35"/>
  </r>
  <r>
    <n v="1436"/>
    <s v="2025-10-08"/>
    <s v="Naveen"/>
    <x v="2"/>
    <x v="8"/>
    <n v="3"/>
    <n v="800"/>
    <n v="5"/>
    <n v="2400"/>
    <n v="120"/>
    <x v="154"/>
    <x v="154"/>
  </r>
  <r>
    <n v="1437"/>
    <s v="2025-05-10"/>
    <s v="Rahul"/>
    <x v="0"/>
    <x v="0"/>
    <n v="4"/>
    <n v="2500"/>
    <n v="10"/>
    <n v="10000"/>
    <n v="1000"/>
    <x v="0"/>
    <x v="0"/>
  </r>
  <r>
    <n v="1438"/>
    <s v="2025-11-23"/>
    <s v="Pooja"/>
    <x v="2"/>
    <x v="7"/>
    <n v="1"/>
    <n v="10000"/>
    <n v="0"/>
    <n v="10000"/>
    <n v="0"/>
    <x v="61"/>
    <x v="61"/>
  </r>
  <r>
    <n v="1439"/>
    <s v="2025-10-24"/>
    <s v="Naveen"/>
    <x v="1"/>
    <x v="6"/>
    <n v="6"/>
    <n v="20000"/>
    <n v="5"/>
    <n v="120000"/>
    <n v="6000"/>
    <x v="104"/>
    <x v="104"/>
  </r>
  <r>
    <n v="1440"/>
    <s v="2025-03-12"/>
    <s v="Pooja"/>
    <x v="2"/>
    <x v="7"/>
    <n v="7"/>
    <n v="5000"/>
    <n v="0"/>
    <n v="35000"/>
    <n v="0"/>
    <x v="19"/>
    <x v="19"/>
  </r>
  <r>
    <n v="1441"/>
    <s v="2025-10-23"/>
    <s v="Lakshmi"/>
    <x v="0"/>
    <x v="2"/>
    <n v="4"/>
    <n v="10000"/>
    <n v="0"/>
    <n v="40000"/>
    <n v="0"/>
    <x v="26"/>
    <x v="26"/>
  </r>
  <r>
    <n v="1442"/>
    <s v="2025-05-12"/>
    <s v="Suresh"/>
    <x v="2"/>
    <x v="8"/>
    <n v="8"/>
    <n v="800"/>
    <n v="0"/>
    <n v="6400"/>
    <n v="0"/>
    <x v="199"/>
    <x v="199"/>
  </r>
  <r>
    <n v="1443"/>
    <s v="2025-08-12"/>
    <s v="Priya"/>
    <x v="1"/>
    <x v="4"/>
    <n v="1"/>
    <n v="10000"/>
    <n v="0"/>
    <n v="10000"/>
    <n v="0"/>
    <x v="61"/>
    <x v="61"/>
  </r>
  <r>
    <n v="1444"/>
    <s v="2025-08-16"/>
    <s v="Lakshmi"/>
    <x v="2"/>
    <x v="8"/>
    <n v="10"/>
    <n v="800"/>
    <n v="5"/>
    <n v="8000"/>
    <n v="400"/>
    <x v="189"/>
    <x v="189"/>
  </r>
  <r>
    <n v="1445"/>
    <s v="2025-12-10"/>
    <s v="Priya"/>
    <x v="0"/>
    <x v="2"/>
    <n v="7"/>
    <n v="1200"/>
    <n v="5"/>
    <n v="8400"/>
    <n v="420"/>
    <x v="135"/>
    <x v="135"/>
  </r>
  <r>
    <n v="1446"/>
    <s v="2025-04-15"/>
    <s v="Priya"/>
    <x v="1"/>
    <x v="3"/>
    <n v="6"/>
    <n v="50000"/>
    <n v="2"/>
    <n v="300000"/>
    <n v="6000"/>
    <x v="138"/>
    <x v="138"/>
  </r>
  <r>
    <n v="1447"/>
    <s v="2025-11-01"/>
    <s v="Naveen"/>
    <x v="0"/>
    <x v="2"/>
    <n v="1"/>
    <n v="50000"/>
    <n v="0"/>
    <n v="50000"/>
    <n v="0"/>
    <x v="119"/>
    <x v="119"/>
  </r>
  <r>
    <n v="1448"/>
    <s v="2025-03-11"/>
    <s v="Pooja"/>
    <x v="1"/>
    <x v="4"/>
    <n v="3"/>
    <n v="1200"/>
    <n v="10"/>
    <n v="3600"/>
    <n v="360"/>
    <x v="200"/>
    <x v="200"/>
  </r>
  <r>
    <n v="1449"/>
    <s v="2025-02-23"/>
    <s v="Pooja"/>
    <x v="2"/>
    <x v="7"/>
    <n v="3"/>
    <n v="5000"/>
    <n v="5"/>
    <n v="15000"/>
    <n v="750"/>
    <x v="107"/>
    <x v="107"/>
  </r>
  <r>
    <n v="1450"/>
    <s v="2025-08-26"/>
    <s v="Priya"/>
    <x v="2"/>
    <x v="8"/>
    <n v="5"/>
    <n v="1200"/>
    <n v="5"/>
    <n v="6000"/>
    <n v="300"/>
    <x v="201"/>
    <x v="201"/>
  </r>
  <r>
    <n v="1451"/>
    <s v="2025-05-05"/>
    <s v="Anil"/>
    <x v="1"/>
    <x v="6"/>
    <n v="10"/>
    <n v="20000"/>
    <n v="0"/>
    <n v="200000"/>
    <n v="0"/>
    <x v="32"/>
    <x v="32"/>
  </r>
  <r>
    <n v="1452"/>
    <s v="2025-06-23"/>
    <s v="Anil"/>
    <x v="0"/>
    <x v="0"/>
    <n v="2"/>
    <n v="5000"/>
    <n v="10"/>
    <n v="10000"/>
    <n v="1000"/>
    <x v="0"/>
    <x v="0"/>
  </r>
  <r>
    <n v="1453"/>
    <s v="2025-10-04"/>
    <s v="Pooja"/>
    <x v="0"/>
    <x v="1"/>
    <n v="5"/>
    <n v="50000"/>
    <n v="2"/>
    <n v="250000"/>
    <n v="5000"/>
    <x v="174"/>
    <x v="174"/>
  </r>
  <r>
    <n v="1454"/>
    <s v="2025-05-29"/>
    <s v="Lakshmi"/>
    <x v="0"/>
    <x v="2"/>
    <n v="3"/>
    <n v="20000"/>
    <n v="0"/>
    <n v="60000"/>
    <n v="0"/>
    <x v="202"/>
    <x v="202"/>
  </r>
  <r>
    <n v="1455"/>
    <s v="2025-06-07"/>
    <s v="Ravi"/>
    <x v="2"/>
    <x v="7"/>
    <n v="1"/>
    <n v="10000"/>
    <n v="5"/>
    <n v="10000"/>
    <n v="500"/>
    <x v="168"/>
    <x v="168"/>
  </r>
  <r>
    <n v="1456"/>
    <s v="2025-04-09"/>
    <s v="Rahul"/>
    <x v="0"/>
    <x v="2"/>
    <n v="8"/>
    <n v="50000"/>
    <n v="5"/>
    <n v="400000"/>
    <n v="20000"/>
    <x v="114"/>
    <x v="114"/>
  </r>
  <r>
    <n v="1457"/>
    <s v="2025-11-03"/>
    <s v="Priya"/>
    <x v="2"/>
    <x v="8"/>
    <n v="4"/>
    <n v="10000"/>
    <n v="5"/>
    <n v="40000"/>
    <n v="2000"/>
    <x v="95"/>
    <x v="95"/>
  </r>
  <r>
    <n v="1458"/>
    <s v="2025-01-23"/>
    <s v="Rahul"/>
    <x v="0"/>
    <x v="2"/>
    <n v="7"/>
    <n v="5000"/>
    <n v="2"/>
    <n v="35000"/>
    <n v="700"/>
    <x v="190"/>
    <x v="190"/>
  </r>
  <r>
    <n v="1459"/>
    <s v="2025-04-07"/>
    <s v="Suresh"/>
    <x v="2"/>
    <x v="8"/>
    <n v="10"/>
    <n v="800"/>
    <n v="5"/>
    <n v="8000"/>
    <n v="400"/>
    <x v="189"/>
    <x v="189"/>
  </r>
  <r>
    <n v="1460"/>
    <s v="2025-01-11"/>
    <s v="Deepa"/>
    <x v="0"/>
    <x v="0"/>
    <n v="2"/>
    <n v="10000"/>
    <n v="10"/>
    <n v="20000"/>
    <n v="2000"/>
    <x v="8"/>
    <x v="8"/>
  </r>
  <r>
    <n v="1461"/>
    <s v="2025-05-27"/>
    <s v="Rahul"/>
    <x v="0"/>
    <x v="0"/>
    <n v="3"/>
    <n v="800"/>
    <n v="15"/>
    <n v="2400"/>
    <n v="360"/>
    <x v="203"/>
    <x v="203"/>
  </r>
  <r>
    <n v="1462"/>
    <s v="2025-10-12"/>
    <s v="Pooja"/>
    <x v="0"/>
    <x v="1"/>
    <n v="8"/>
    <n v="800"/>
    <n v="15"/>
    <n v="6400"/>
    <n v="960"/>
    <x v="96"/>
    <x v="96"/>
  </r>
  <r>
    <n v="1463"/>
    <s v="2025-12-18"/>
    <s v="Lakshmi"/>
    <x v="0"/>
    <x v="1"/>
    <n v="4"/>
    <n v="50000"/>
    <n v="0"/>
    <n v="200000"/>
    <n v="0"/>
    <x v="32"/>
    <x v="32"/>
  </r>
  <r>
    <n v="1464"/>
    <s v="2025-07-19"/>
    <s v="Deepa"/>
    <x v="2"/>
    <x v="8"/>
    <n v="4"/>
    <n v="800"/>
    <n v="2"/>
    <n v="3200"/>
    <n v="64"/>
    <x v="204"/>
    <x v="204"/>
  </r>
  <r>
    <n v="1465"/>
    <s v="2025-01-27"/>
    <s v="Pooja"/>
    <x v="2"/>
    <x v="7"/>
    <n v="4"/>
    <n v="1200"/>
    <n v="0"/>
    <n v="4800"/>
    <n v="0"/>
    <x v="152"/>
    <x v="152"/>
  </r>
  <r>
    <n v="1466"/>
    <s v="2025-12-18"/>
    <s v="Naveen"/>
    <x v="2"/>
    <x v="8"/>
    <n v="1"/>
    <n v="50000"/>
    <n v="0"/>
    <n v="50000"/>
    <n v="0"/>
    <x v="119"/>
    <x v="119"/>
  </r>
  <r>
    <n v="1467"/>
    <s v="2025-04-13"/>
    <s v="Deepa"/>
    <x v="0"/>
    <x v="1"/>
    <n v="5"/>
    <n v="500"/>
    <n v="15"/>
    <n v="2500"/>
    <n v="375"/>
    <x v="4"/>
    <x v="4"/>
  </r>
  <r>
    <n v="1468"/>
    <s v="2025-07-05"/>
    <s v="Suresh"/>
    <x v="1"/>
    <x v="6"/>
    <n v="4"/>
    <n v="50000"/>
    <n v="5"/>
    <n v="200000"/>
    <n v="10000"/>
    <x v="97"/>
    <x v="97"/>
  </r>
  <r>
    <n v="1469"/>
    <s v="2025-06-09"/>
    <s v="Rahul"/>
    <x v="1"/>
    <x v="3"/>
    <n v="10"/>
    <n v="2500"/>
    <n v="2"/>
    <n v="25000"/>
    <n v="500"/>
    <x v="34"/>
    <x v="34"/>
  </r>
  <r>
    <n v="1470"/>
    <s v="2025-10-18"/>
    <s v="Rahul"/>
    <x v="2"/>
    <x v="5"/>
    <n v="9"/>
    <n v="500"/>
    <n v="15"/>
    <n v="4500"/>
    <n v="675"/>
    <x v="45"/>
    <x v="45"/>
  </r>
  <r>
    <n v="1471"/>
    <s v="2025-05-07"/>
    <s v="Ravi"/>
    <x v="2"/>
    <x v="5"/>
    <n v="7"/>
    <n v="10000"/>
    <n v="5"/>
    <n v="70000"/>
    <n v="3500"/>
    <x v="205"/>
    <x v="205"/>
  </r>
  <r>
    <n v="1472"/>
    <s v="2025-07-07"/>
    <s v="Priya"/>
    <x v="2"/>
    <x v="5"/>
    <n v="4"/>
    <n v="500"/>
    <n v="10"/>
    <n v="2000"/>
    <n v="200"/>
    <x v="206"/>
    <x v="206"/>
  </r>
  <r>
    <n v="1473"/>
    <s v="2025-04-23"/>
    <s v="Ravi"/>
    <x v="2"/>
    <x v="5"/>
    <n v="9"/>
    <n v="10000"/>
    <n v="10"/>
    <n v="90000"/>
    <n v="9000"/>
    <x v="142"/>
    <x v="142"/>
  </r>
  <r>
    <n v="1474"/>
    <s v="2025-01-20"/>
    <s v="Ravi"/>
    <x v="1"/>
    <x v="6"/>
    <n v="2"/>
    <n v="50000"/>
    <n v="10"/>
    <n v="100000"/>
    <n v="10000"/>
    <x v="2"/>
    <x v="2"/>
  </r>
  <r>
    <n v="1475"/>
    <s v="2025-02-21"/>
    <s v="Rahul"/>
    <x v="2"/>
    <x v="5"/>
    <n v="6"/>
    <n v="10000"/>
    <n v="0"/>
    <n v="60000"/>
    <n v="0"/>
    <x v="202"/>
    <x v="202"/>
  </r>
  <r>
    <n v="1476"/>
    <s v="2025-04-19"/>
    <s v="Lakshmi"/>
    <x v="1"/>
    <x v="3"/>
    <n v="6"/>
    <n v="800"/>
    <n v="5"/>
    <n v="4800"/>
    <n v="240"/>
    <x v="88"/>
    <x v="88"/>
  </r>
  <r>
    <n v="1477"/>
    <s v="2025-10-17"/>
    <s v="Anil"/>
    <x v="2"/>
    <x v="7"/>
    <n v="9"/>
    <n v="20000"/>
    <n v="10"/>
    <n v="180000"/>
    <n v="18000"/>
    <x v="13"/>
    <x v="13"/>
  </r>
  <r>
    <n v="1478"/>
    <s v="2025-06-05"/>
    <s v="Priya"/>
    <x v="0"/>
    <x v="2"/>
    <n v="7"/>
    <n v="800"/>
    <n v="10"/>
    <n v="5600"/>
    <n v="560"/>
    <x v="207"/>
    <x v="207"/>
  </r>
  <r>
    <n v="1479"/>
    <s v="2025-01-27"/>
    <s v="Anil"/>
    <x v="1"/>
    <x v="3"/>
    <n v="2"/>
    <n v="20000"/>
    <n v="10"/>
    <n v="40000"/>
    <n v="4000"/>
    <x v="186"/>
    <x v="186"/>
  </r>
  <r>
    <n v="1480"/>
    <s v="2025-01-13"/>
    <s v="Deepa"/>
    <x v="1"/>
    <x v="3"/>
    <n v="3"/>
    <n v="2500"/>
    <n v="2"/>
    <n v="7500"/>
    <n v="150"/>
    <x v="124"/>
    <x v="124"/>
  </r>
  <r>
    <n v="1481"/>
    <s v="2025-08-06"/>
    <s v="Kiran"/>
    <x v="2"/>
    <x v="7"/>
    <n v="6"/>
    <n v="800"/>
    <n v="10"/>
    <n v="4800"/>
    <n v="480"/>
    <x v="208"/>
    <x v="208"/>
  </r>
  <r>
    <n v="1482"/>
    <s v="2025-10-31"/>
    <s v="Pooja"/>
    <x v="1"/>
    <x v="3"/>
    <n v="1"/>
    <n v="500"/>
    <n v="2"/>
    <n v="500"/>
    <n v="10"/>
    <x v="117"/>
    <x v="117"/>
  </r>
  <r>
    <n v="1483"/>
    <s v="2025-10-09"/>
    <s v="Ravi"/>
    <x v="0"/>
    <x v="2"/>
    <n v="6"/>
    <n v="2500"/>
    <n v="0"/>
    <n v="15000"/>
    <n v="0"/>
    <x v="24"/>
    <x v="24"/>
  </r>
  <r>
    <n v="1484"/>
    <s v="2025-05-15"/>
    <s v="Priya"/>
    <x v="1"/>
    <x v="4"/>
    <n v="4"/>
    <n v="800"/>
    <n v="10"/>
    <n v="3200"/>
    <n v="320"/>
    <x v="112"/>
    <x v="112"/>
  </r>
  <r>
    <n v="1485"/>
    <s v="2025-12-27"/>
    <s v="Priya"/>
    <x v="0"/>
    <x v="2"/>
    <n v="2"/>
    <n v="800"/>
    <n v="5"/>
    <n v="1600"/>
    <n v="80"/>
    <x v="123"/>
    <x v="123"/>
  </r>
  <r>
    <n v="1486"/>
    <s v="2025-09-03"/>
    <s v="Priya"/>
    <x v="1"/>
    <x v="4"/>
    <n v="5"/>
    <n v="20000"/>
    <n v="5"/>
    <n v="100000"/>
    <n v="5000"/>
    <x v="54"/>
    <x v="54"/>
  </r>
  <r>
    <n v="1487"/>
    <s v="2025-10-01"/>
    <s v="Anil"/>
    <x v="2"/>
    <x v="7"/>
    <n v="7"/>
    <n v="800"/>
    <n v="10"/>
    <n v="5600"/>
    <n v="560"/>
    <x v="207"/>
    <x v="207"/>
  </r>
  <r>
    <n v="1488"/>
    <s v="2025-10-16"/>
    <s v="Ravi"/>
    <x v="2"/>
    <x v="7"/>
    <n v="4"/>
    <n v="2500"/>
    <n v="10"/>
    <n v="10000"/>
    <n v="1000"/>
    <x v="0"/>
    <x v="0"/>
  </r>
  <r>
    <n v="1489"/>
    <s v="2025-12-26"/>
    <s v="Deepa"/>
    <x v="1"/>
    <x v="3"/>
    <n v="5"/>
    <n v="20000"/>
    <n v="5"/>
    <n v="100000"/>
    <n v="5000"/>
    <x v="54"/>
    <x v="54"/>
  </r>
  <r>
    <n v="1490"/>
    <s v="2025-07-05"/>
    <s v="Anil"/>
    <x v="0"/>
    <x v="1"/>
    <n v="3"/>
    <n v="10000"/>
    <n v="15"/>
    <n v="30000"/>
    <n v="4500"/>
    <x v="17"/>
    <x v="17"/>
  </r>
  <r>
    <n v="1491"/>
    <s v="2025-06-01"/>
    <s v="Rahul"/>
    <x v="0"/>
    <x v="1"/>
    <n v="6"/>
    <n v="500"/>
    <n v="2"/>
    <n v="3000"/>
    <n v="60"/>
    <x v="20"/>
    <x v="20"/>
  </r>
  <r>
    <n v="1492"/>
    <s v="2025-03-09"/>
    <s v="Kiran"/>
    <x v="1"/>
    <x v="6"/>
    <n v="4"/>
    <n v="800"/>
    <n v="0"/>
    <n v="3200"/>
    <n v="0"/>
    <x v="209"/>
    <x v="209"/>
  </r>
  <r>
    <n v="1493"/>
    <s v="2025-11-11"/>
    <s v="Lakshmi"/>
    <x v="1"/>
    <x v="4"/>
    <n v="2"/>
    <n v="20000"/>
    <n v="15"/>
    <n v="40000"/>
    <n v="6000"/>
    <x v="14"/>
    <x v="14"/>
  </r>
  <r>
    <n v="1494"/>
    <s v="2025-01-11"/>
    <s v="Rahul"/>
    <x v="2"/>
    <x v="5"/>
    <n v="9"/>
    <n v="1200"/>
    <n v="2"/>
    <n v="10800"/>
    <n v="216"/>
    <x v="115"/>
    <x v="115"/>
  </r>
  <r>
    <n v="1495"/>
    <s v="2025-01-05"/>
    <s v="Deepa"/>
    <x v="0"/>
    <x v="2"/>
    <n v="9"/>
    <n v="5000"/>
    <n v="0"/>
    <n v="45000"/>
    <n v="0"/>
    <x v="82"/>
    <x v="82"/>
  </r>
  <r>
    <n v="1496"/>
    <s v="2025-02-23"/>
    <s v="Lakshmi"/>
    <x v="2"/>
    <x v="8"/>
    <n v="3"/>
    <n v="800"/>
    <n v="10"/>
    <n v="2400"/>
    <n v="240"/>
    <x v="12"/>
    <x v="12"/>
  </r>
  <r>
    <n v="1497"/>
    <s v="2025-02-07"/>
    <s v="Kiran"/>
    <x v="0"/>
    <x v="0"/>
    <n v="9"/>
    <n v="20000"/>
    <n v="2"/>
    <n v="180000"/>
    <n v="3600"/>
    <x v="210"/>
    <x v="210"/>
  </r>
  <r>
    <n v="1498"/>
    <s v="2025-06-01"/>
    <s v="Priya"/>
    <x v="1"/>
    <x v="4"/>
    <n v="9"/>
    <n v="20000"/>
    <n v="5"/>
    <n v="180000"/>
    <n v="9000"/>
    <x v="160"/>
    <x v="160"/>
  </r>
  <r>
    <n v="1499"/>
    <s v="2025-05-01"/>
    <s v="Deepa"/>
    <x v="0"/>
    <x v="2"/>
    <n v="9"/>
    <n v="10000"/>
    <n v="0"/>
    <n v="90000"/>
    <n v="0"/>
    <x v="2"/>
    <x v="2"/>
  </r>
  <r>
    <n v="1500"/>
    <s v="2025-01-22"/>
    <s v="Priya"/>
    <x v="2"/>
    <x v="7"/>
    <n v="6"/>
    <n v="20000"/>
    <n v="15"/>
    <n v="120000"/>
    <n v="18000"/>
    <x v="211"/>
    <x v="2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71FF1-49C3-4639-8F1F-8F4D66D2F9C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S6:T8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h="1" x="0"/>
        <item h="1" x="4"/>
        <item x="1"/>
        <item h="1" x="3"/>
        <item h="1" x="6"/>
        <item h="1" x="7"/>
        <item h="1" x="8"/>
        <item h="1" x="2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2">
    <i>
      <x v="2"/>
    </i>
    <i t="grand">
      <x/>
    </i>
  </rowItems>
  <colItems count="1">
    <i/>
  </colItems>
  <dataFields count="1">
    <dataField name="Sum of Net_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DC8AF-8C48-4A5D-9667-3F20C34234B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5:L7" firstHeaderRow="1" firstDataRow="1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10">
        <item h="1" x="5"/>
        <item h="1" x="2"/>
        <item h="1" x="8"/>
        <item h="1" x="7"/>
        <item h="1" x="6"/>
        <item h="1" x="3"/>
        <item x="1"/>
        <item h="1" x="4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580C8-185C-44F9-8896-03ADBE5BA4D1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5:D7" firstHeaderRow="1" firstDataRow="1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10">
        <item h="1" x="5"/>
        <item h="1" x="2"/>
        <item h="1" x="8"/>
        <item h="1" x="7"/>
        <item h="1" x="6"/>
        <item h="1" x="3"/>
        <item x="1"/>
        <item h="1" x="4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13">
        <item x="136"/>
        <item x="151"/>
        <item x="117"/>
        <item x="5"/>
        <item x="120"/>
        <item x="31"/>
        <item x="60"/>
        <item x="129"/>
        <item x="23"/>
        <item x="187"/>
        <item x="184"/>
        <item x="101"/>
        <item x="86"/>
        <item x="176"/>
        <item x="7"/>
        <item x="156"/>
        <item x="109"/>
        <item x="170"/>
        <item x="162"/>
        <item x="123"/>
        <item x="153"/>
        <item x="206"/>
        <item x="91"/>
        <item x="182"/>
        <item x="203"/>
        <item x="4"/>
        <item x="12"/>
        <item x="165"/>
        <item x="154"/>
        <item x="122"/>
        <item x="77"/>
        <item x="38"/>
        <item x="87"/>
        <item x="126"/>
        <item x="11"/>
        <item x="198"/>
        <item x="112"/>
        <item x="20"/>
        <item x="99"/>
        <item x="164"/>
        <item x="116"/>
        <item x="204"/>
        <item x="185"/>
        <item x="209"/>
        <item x="200"/>
        <item x="111"/>
        <item x="29"/>
        <item x="148"/>
        <item x="149"/>
        <item x="100"/>
        <item x="45"/>
        <item x="76"/>
        <item x="167"/>
        <item x="70"/>
        <item x="53"/>
        <item x="208"/>
        <item x="158"/>
        <item x="88"/>
        <item x="139"/>
        <item x="152"/>
        <item x="50"/>
        <item x="207"/>
        <item x="49"/>
        <item x="147"/>
        <item x="74"/>
        <item x="96"/>
        <item x="90"/>
        <item x="43"/>
        <item x="201"/>
        <item x="84"/>
        <item x="22"/>
        <item x="55"/>
        <item x="131"/>
        <item x="199"/>
        <item x="51"/>
        <item x="80"/>
        <item x="173"/>
        <item x="37"/>
        <item x="3"/>
        <item x="124"/>
        <item x="41"/>
        <item x="189"/>
        <item x="62"/>
        <item x="135"/>
        <item x="75"/>
        <item x="145"/>
        <item x="73"/>
        <item x="0"/>
        <item x="103"/>
        <item x="179"/>
        <item x="168"/>
        <item x="191"/>
        <item x="133"/>
        <item x="110"/>
        <item x="61"/>
        <item x="137"/>
        <item x="115"/>
        <item x="33"/>
        <item x="161"/>
        <item x="44"/>
        <item x="108"/>
        <item x="118"/>
        <item x="188"/>
        <item x="128"/>
        <item x="93"/>
        <item x="107"/>
        <item x="132"/>
        <item x="79"/>
        <item x="24"/>
        <item x="169"/>
        <item x="30"/>
        <item x="18"/>
        <item x="81"/>
        <item x="8"/>
        <item x="35"/>
        <item x="92"/>
        <item x="47"/>
        <item x="21"/>
        <item x="56"/>
        <item x="69"/>
        <item x="159"/>
        <item x="180"/>
        <item x="127"/>
        <item x="28"/>
        <item x="34"/>
        <item x="40"/>
        <item x="17"/>
        <item x="64"/>
        <item x="63"/>
        <item x="141"/>
        <item x="177"/>
        <item x="59"/>
        <item x="14"/>
        <item x="190"/>
        <item x="19"/>
        <item x="186"/>
        <item x="95"/>
        <item x="175"/>
        <item x="15"/>
        <item x="26"/>
        <item x="6"/>
        <item x="78"/>
        <item x="65"/>
        <item x="166"/>
        <item x="82"/>
        <item x="25"/>
        <item x="106"/>
        <item x="119"/>
        <item x="178"/>
        <item x="183"/>
        <item x="192"/>
        <item x="94"/>
        <item x="16"/>
        <item x="202"/>
        <item x="66"/>
        <item x="205"/>
        <item x="194"/>
        <item x="196"/>
        <item x="83"/>
        <item x="113"/>
        <item x="181"/>
        <item x="72"/>
        <item x="142"/>
        <item x="155"/>
        <item x="57"/>
        <item x="9"/>
        <item x="2"/>
        <item x="54"/>
        <item x="67"/>
        <item x="144"/>
        <item x="211"/>
        <item x="104"/>
        <item x="58"/>
        <item x="143"/>
        <item x="130"/>
        <item x="10"/>
        <item x="157"/>
        <item x="163"/>
        <item x="125"/>
        <item x="13"/>
        <item x="150"/>
        <item x="160"/>
        <item x="210"/>
        <item x="48"/>
        <item x="97"/>
        <item x="68"/>
        <item x="32"/>
        <item x="172"/>
        <item x="174"/>
        <item x="46"/>
        <item x="102"/>
        <item x="36"/>
        <item x="98"/>
        <item x="138"/>
        <item x="193"/>
        <item x="89"/>
        <item x="197"/>
        <item x="121"/>
        <item x="85"/>
        <item x="105"/>
        <item x="71"/>
        <item x="1"/>
        <item x="114"/>
        <item x="171"/>
        <item x="134"/>
        <item x="27"/>
        <item x="52"/>
        <item x="140"/>
        <item x="146"/>
        <item x="39"/>
        <item x="42"/>
        <item x="195"/>
        <item t="default"/>
      </items>
    </pivotField>
    <pivotField compact="0" outline="0" showAll="0">
      <items count="213">
        <item x="136"/>
        <item x="151"/>
        <item x="117"/>
        <item x="5"/>
        <item x="120"/>
        <item x="31"/>
        <item x="60"/>
        <item x="129"/>
        <item x="23"/>
        <item x="187"/>
        <item x="184"/>
        <item x="101"/>
        <item x="86"/>
        <item x="176"/>
        <item x="7"/>
        <item x="156"/>
        <item x="109"/>
        <item x="170"/>
        <item x="162"/>
        <item x="123"/>
        <item x="153"/>
        <item x="206"/>
        <item x="91"/>
        <item x="182"/>
        <item x="203"/>
        <item x="4"/>
        <item x="12"/>
        <item x="165"/>
        <item x="154"/>
        <item x="122"/>
        <item x="77"/>
        <item x="38"/>
        <item x="87"/>
        <item x="126"/>
        <item x="11"/>
        <item x="198"/>
        <item x="112"/>
        <item x="20"/>
        <item x="99"/>
        <item x="164"/>
        <item x="116"/>
        <item x="204"/>
        <item x="185"/>
        <item x="209"/>
        <item x="200"/>
        <item x="111"/>
        <item x="29"/>
        <item x="148"/>
        <item x="149"/>
        <item x="100"/>
        <item x="45"/>
        <item x="76"/>
        <item x="167"/>
        <item x="70"/>
        <item x="53"/>
        <item x="208"/>
        <item x="158"/>
        <item x="88"/>
        <item x="139"/>
        <item x="152"/>
        <item x="50"/>
        <item x="207"/>
        <item x="49"/>
        <item x="147"/>
        <item x="74"/>
        <item x="96"/>
        <item x="90"/>
        <item x="43"/>
        <item x="201"/>
        <item x="84"/>
        <item x="22"/>
        <item x="55"/>
        <item x="131"/>
        <item x="199"/>
        <item x="51"/>
        <item x="80"/>
        <item x="173"/>
        <item x="37"/>
        <item x="3"/>
        <item x="124"/>
        <item x="41"/>
        <item x="189"/>
        <item x="62"/>
        <item x="135"/>
        <item x="75"/>
        <item x="145"/>
        <item x="73"/>
        <item x="0"/>
        <item x="103"/>
        <item x="179"/>
        <item x="168"/>
        <item x="191"/>
        <item x="133"/>
        <item x="110"/>
        <item x="61"/>
        <item x="137"/>
        <item x="115"/>
        <item x="33"/>
        <item x="161"/>
        <item x="44"/>
        <item x="108"/>
        <item x="118"/>
        <item x="188"/>
        <item x="128"/>
        <item x="93"/>
        <item x="107"/>
        <item x="132"/>
        <item x="79"/>
        <item x="24"/>
        <item x="169"/>
        <item x="30"/>
        <item x="18"/>
        <item x="81"/>
        <item x="8"/>
        <item x="35"/>
        <item x="92"/>
        <item x="47"/>
        <item x="21"/>
        <item x="56"/>
        <item x="69"/>
        <item x="159"/>
        <item x="180"/>
        <item x="127"/>
        <item x="28"/>
        <item x="34"/>
        <item x="40"/>
        <item x="17"/>
        <item x="64"/>
        <item x="63"/>
        <item x="141"/>
        <item x="177"/>
        <item x="59"/>
        <item x="14"/>
        <item x="190"/>
        <item x="19"/>
        <item x="186"/>
        <item x="95"/>
        <item x="175"/>
        <item x="15"/>
        <item x="26"/>
        <item x="6"/>
        <item x="78"/>
        <item x="65"/>
        <item x="166"/>
        <item x="82"/>
        <item x="25"/>
        <item x="106"/>
        <item x="119"/>
        <item x="178"/>
        <item x="183"/>
        <item x="192"/>
        <item x="94"/>
        <item x="16"/>
        <item x="202"/>
        <item x="66"/>
        <item x="205"/>
        <item x="194"/>
        <item x="196"/>
        <item x="83"/>
        <item x="113"/>
        <item x="181"/>
        <item x="72"/>
        <item x="142"/>
        <item x="155"/>
        <item x="57"/>
        <item x="9"/>
        <item x="2"/>
        <item x="54"/>
        <item x="67"/>
        <item x="144"/>
        <item x="211"/>
        <item x="104"/>
        <item x="58"/>
        <item x="143"/>
        <item x="130"/>
        <item x="10"/>
        <item x="157"/>
        <item x="163"/>
        <item x="125"/>
        <item x="13"/>
        <item x="150"/>
        <item x="160"/>
        <item x="210"/>
        <item x="48"/>
        <item x="97"/>
        <item x="68"/>
        <item x="32"/>
        <item x="172"/>
        <item x="174"/>
        <item x="46"/>
        <item x="102"/>
        <item x="36"/>
        <item x="98"/>
        <item x="138"/>
        <item x="193"/>
        <item x="89"/>
        <item x="197"/>
        <item x="121"/>
        <item x="85"/>
        <item x="105"/>
        <item x="71"/>
        <item x="1"/>
        <item x="114"/>
        <item x="171"/>
        <item x="134"/>
        <item x="27"/>
        <item x="52"/>
        <item x="140"/>
        <item x="146"/>
        <item x="39"/>
        <item x="42"/>
        <item x="195"/>
        <item t="default"/>
      </items>
    </pivotField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Net_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963C0F13-5E3C-4CBE-BF7B-F9E22CD13EE7}" sourceName="Category">
  <pivotTables>
    <pivotTable tabId="2" name="PivotTable4"/>
    <pivotTable tabId="2" name="PivotTable5"/>
  </pivotTables>
  <data>
    <tabular pivotCacheId="156106120">
      <items count="3">
        <i x="0" s="1"/>
        <i x="2" s="1" nd="1"/>
        <i x="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7A6DB84F-82CD-4F37-B7C0-EB6AB4746EFE}" sourceName="Product">
  <pivotTables>
    <pivotTable tabId="2" name="PivotTable5"/>
    <pivotTable tabId="2" name="PivotTable1"/>
    <pivotTable tabId="2" name="PivotTable4"/>
  </pivotTables>
  <data>
    <tabular pivotCacheId="156106120">
      <items count="9">
        <i x="5"/>
        <i x="2"/>
        <i x="8"/>
        <i x="7"/>
        <i x="6"/>
        <i x="3"/>
        <i x="1" s="1"/>
        <i x="4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5016B1C9-FD5F-42AF-A80C-0330A77733FF}" cache="Slicer_Category" caption="Category" rowHeight="228600"/>
  <slicer name="Product" xr10:uid="{D7E5B3EE-1E0F-493A-8E0B-91F943282F7B}" cache="Slicer_Product" caption="Produc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42177-9FD0-4FF1-B074-9CADAACADAEA}" name="Table1" displayName="Table1" ref="A1:L501" totalsRowShown="0">
  <autoFilter ref="A1:L501" xr:uid="{E4A42177-9FD0-4FF1-B074-9CADAACADAEA}"/>
  <sortState xmlns:xlrd2="http://schemas.microsoft.com/office/spreadsheetml/2017/richdata2" ref="A2:L501">
    <sortCondition sortBy="cellColor" ref="K2:K501" dxfId="1"/>
  </sortState>
  <tableColumns count="12">
    <tableColumn id="1" xr3:uid="{A1C75505-BE58-48D6-A09A-8B1988630112}" name="Order_ID"/>
    <tableColumn id="2" xr3:uid="{2B520537-3E86-42C9-968B-05DBC68771B9}" name="Order_Date"/>
    <tableColumn id="3" xr3:uid="{E6141203-1151-4B67-A8CD-39BDF9797187}" name="Customer_Name"/>
    <tableColumn id="4" xr3:uid="{8CDA7A16-A660-410D-844C-3613F36F7F06}" name="Category"/>
    <tableColumn id="5" xr3:uid="{6313B27B-5977-4C96-88FE-10EF95B49CAE}" name="Product"/>
    <tableColumn id="6" xr3:uid="{95748ACE-7A66-403F-9D99-86F848EADAAA}" name="Quantity"/>
    <tableColumn id="7" xr3:uid="{C1B2E5F4-4C04-482C-A625-0AF3A43E6B9D}" name="Unit_Price"/>
    <tableColumn id="8" xr3:uid="{A2AB7674-9546-4E3B-9CAA-38B7D303E985}" name="Discount_%"/>
    <tableColumn id="9" xr3:uid="{73446D88-B32F-4282-A390-76C068EF9314}" name="Gross_Sales"/>
    <tableColumn id="10" xr3:uid="{04C7FC10-C6F3-487B-8FBD-B5BCF010FDF9}" name="Discount_Amount"/>
    <tableColumn id="11" xr3:uid="{5507F39A-C23B-45A3-A27B-E4B27225F3F9}" name="Net_Sales"/>
    <tableColumn id="12" xr3:uid="{9D24C05A-70FF-4FE6-B18D-B88A284D5D67}" name="Profit" dataDxfId="0">
      <calculatedColumnFormula>K2*20%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5BE9-9CBD-4D1F-A1F6-C37C538866BB}">
  <dimension ref="A2:T8"/>
  <sheetViews>
    <sheetView tabSelected="1" topLeftCell="B1" workbookViewId="0">
      <selection activeCell="F22" sqref="F22"/>
    </sheetView>
  </sheetViews>
  <sheetFormatPr defaultRowHeight="15"/>
  <cols>
    <col min="1" max="1" width="12" customWidth="1"/>
    <col min="2" max="2" width="16.42578125" bestFit="1" customWidth="1"/>
    <col min="3" max="3" width="12" customWidth="1"/>
    <col min="4" max="4" width="16.42578125" customWidth="1"/>
    <col min="5" max="5" width="12" bestFit="1" customWidth="1"/>
    <col min="6" max="6" width="12.5703125" bestFit="1" customWidth="1"/>
    <col min="11" max="11" width="12" customWidth="1"/>
    <col min="12" max="12" width="12.5703125" customWidth="1"/>
    <col min="19" max="19" width="11.42578125" customWidth="1"/>
    <col min="20" max="20" width="16.42578125" bestFit="1" customWidth="1"/>
  </cols>
  <sheetData>
    <row r="2" spans="1:20">
      <c r="A2" s="9"/>
    </row>
    <row r="4" spans="1:20" ht="25.5" customHeight="1">
      <c r="C4" s="10" t="s">
        <v>0</v>
      </c>
      <c r="K4" s="12" t="s">
        <v>1</v>
      </c>
      <c r="L4" s="11"/>
      <c r="S4" s="14" t="s">
        <v>2</v>
      </c>
      <c r="T4" s="13"/>
    </row>
    <row r="5" spans="1:20">
      <c r="C5" s="6" t="s">
        <v>3</v>
      </c>
      <c r="D5" t="s">
        <v>4</v>
      </c>
      <c r="E5" s="8"/>
      <c r="K5" s="6" t="s">
        <v>3</v>
      </c>
      <c r="L5" t="s">
        <v>5</v>
      </c>
    </row>
    <row r="6" spans="1:20">
      <c r="C6" t="s">
        <v>6</v>
      </c>
      <c r="D6" s="7">
        <v>3546363</v>
      </c>
      <c r="K6" t="s">
        <v>6</v>
      </c>
      <c r="L6" s="7">
        <v>709272.6</v>
      </c>
      <c r="S6" s="6" t="s">
        <v>7</v>
      </c>
      <c r="T6" t="s">
        <v>4</v>
      </c>
    </row>
    <row r="7" spans="1:20">
      <c r="C7" t="s">
        <v>8</v>
      </c>
      <c r="D7" s="7">
        <v>3546363</v>
      </c>
      <c r="K7" t="s">
        <v>8</v>
      </c>
      <c r="L7" s="7">
        <v>709272.6</v>
      </c>
      <c r="S7" t="s">
        <v>9</v>
      </c>
      <c r="T7" s="7">
        <v>3546363</v>
      </c>
    </row>
    <row r="8" spans="1:20">
      <c r="S8" t="s">
        <v>8</v>
      </c>
      <c r="T8" s="7">
        <v>3546363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workbookViewId="0">
      <selection activeCell="N17" sqref="N17"/>
    </sheetView>
  </sheetViews>
  <sheetFormatPr defaultRowHeight="15"/>
  <cols>
    <col min="1" max="1" width="11.28515625" bestFit="1" customWidth="1"/>
    <col min="2" max="2" width="13.5703125" bestFit="1" customWidth="1"/>
    <col min="3" max="3" width="18.140625" bestFit="1" customWidth="1"/>
    <col min="4" max="4" width="11.140625" bestFit="1" customWidth="1"/>
    <col min="5" max="5" width="11.85546875" bestFit="1" customWidth="1"/>
    <col min="6" max="6" width="11" bestFit="1" customWidth="1"/>
    <col min="7" max="7" width="12.42578125" bestFit="1" customWidth="1"/>
    <col min="8" max="8" width="13.5703125" bestFit="1" customWidth="1"/>
    <col min="9" max="9" width="13.7109375" bestFit="1" customWidth="1"/>
    <col min="10" max="10" width="19.28515625" bestFit="1" customWidth="1"/>
    <col min="11" max="11" width="12" bestFit="1" customWidth="1"/>
    <col min="12" max="12" width="10.140625" customWidth="1"/>
    <col min="14" max="14" width="15.28515625" customWidth="1"/>
    <col min="15" max="15" width="36.5703125" bestFit="1" customWidth="1"/>
  </cols>
  <sheetData>
    <row r="1" spans="1:15">
      <c r="A1" t="s">
        <v>10</v>
      </c>
      <c r="B1" t="s">
        <v>11</v>
      </c>
      <c r="C1" t="s">
        <v>12</v>
      </c>
      <c r="D1" t="s">
        <v>3</v>
      </c>
      <c r="E1" t="s">
        <v>7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5">
      <c r="A2">
        <v>1001</v>
      </c>
      <c r="B2" t="s">
        <v>20</v>
      </c>
      <c r="C2" t="s">
        <v>21</v>
      </c>
      <c r="D2" t="s">
        <v>6</v>
      </c>
      <c r="E2" t="s">
        <v>22</v>
      </c>
      <c r="F2">
        <v>4</v>
      </c>
      <c r="G2">
        <v>2500</v>
      </c>
      <c r="H2">
        <v>10</v>
      </c>
      <c r="I2">
        <v>10000</v>
      </c>
      <c r="J2">
        <v>1000</v>
      </c>
      <c r="K2">
        <v>9000</v>
      </c>
      <c r="L2">
        <f t="shared" ref="L2:L65" si="0">K2*20%</f>
        <v>1800</v>
      </c>
      <c r="N2" s="1" t="s">
        <v>23</v>
      </c>
    </row>
    <row r="3" spans="1:15">
      <c r="A3">
        <v>1002</v>
      </c>
      <c r="B3" t="s">
        <v>24</v>
      </c>
      <c r="C3" t="s">
        <v>25</v>
      </c>
      <c r="D3" t="s">
        <v>6</v>
      </c>
      <c r="E3" t="s">
        <v>9</v>
      </c>
      <c r="F3">
        <v>4</v>
      </c>
      <c r="G3">
        <v>1200</v>
      </c>
      <c r="H3">
        <v>10</v>
      </c>
      <c r="I3">
        <v>4800</v>
      </c>
      <c r="J3">
        <v>480</v>
      </c>
      <c r="K3">
        <v>9000</v>
      </c>
      <c r="L3">
        <f t="shared" si="0"/>
        <v>1800</v>
      </c>
      <c r="N3" s="2" t="s">
        <v>26</v>
      </c>
      <c r="O3">
        <f>SUM(K2:K501)</f>
        <v>30817163</v>
      </c>
    </row>
    <row r="4" spans="1:15">
      <c r="A4">
        <v>1003</v>
      </c>
      <c r="B4" t="s">
        <v>27</v>
      </c>
      <c r="C4" t="s">
        <v>28</v>
      </c>
      <c r="D4" t="s">
        <v>6</v>
      </c>
      <c r="E4" t="s">
        <v>29</v>
      </c>
      <c r="F4">
        <v>6</v>
      </c>
      <c r="G4">
        <v>500</v>
      </c>
      <c r="H4">
        <v>10</v>
      </c>
      <c r="I4">
        <v>3000</v>
      </c>
      <c r="J4">
        <v>300</v>
      </c>
      <c r="K4">
        <v>9000</v>
      </c>
      <c r="L4">
        <f t="shared" si="0"/>
        <v>1800</v>
      </c>
      <c r="N4" s="2" t="s">
        <v>30</v>
      </c>
      <c r="O4">
        <f>AVERAGE(K2:K501)</f>
        <v>61634.326000000001</v>
      </c>
    </row>
    <row r="5" spans="1:15">
      <c r="A5">
        <v>1004</v>
      </c>
      <c r="B5" t="s">
        <v>31</v>
      </c>
      <c r="C5" t="s">
        <v>28</v>
      </c>
      <c r="D5" t="s">
        <v>32</v>
      </c>
      <c r="E5" t="s">
        <v>33</v>
      </c>
      <c r="F5">
        <v>6</v>
      </c>
      <c r="G5">
        <v>500</v>
      </c>
      <c r="H5">
        <v>15</v>
      </c>
      <c r="I5">
        <v>3000</v>
      </c>
      <c r="J5">
        <v>450</v>
      </c>
      <c r="K5">
        <v>9000</v>
      </c>
      <c r="L5">
        <f t="shared" si="0"/>
        <v>1800</v>
      </c>
      <c r="N5" s="2" t="s">
        <v>34</v>
      </c>
      <c r="O5">
        <f>MAX(K2:K501)</f>
        <v>500000</v>
      </c>
    </row>
    <row r="6" spans="1:15">
      <c r="A6">
        <v>1005</v>
      </c>
      <c r="B6" t="s">
        <v>35</v>
      </c>
      <c r="C6" t="s">
        <v>28</v>
      </c>
      <c r="D6" t="s">
        <v>6</v>
      </c>
      <c r="E6" t="s">
        <v>29</v>
      </c>
      <c r="F6">
        <v>6</v>
      </c>
      <c r="G6">
        <v>5000</v>
      </c>
      <c r="H6">
        <v>15</v>
      </c>
      <c r="I6">
        <v>30000</v>
      </c>
      <c r="J6">
        <v>4500</v>
      </c>
      <c r="K6">
        <v>9000</v>
      </c>
      <c r="L6">
        <f t="shared" si="0"/>
        <v>1800</v>
      </c>
      <c r="N6" s="2" t="s">
        <v>36</v>
      </c>
      <c r="O6">
        <f>MIN(K2:K501)</f>
        <v>450</v>
      </c>
    </row>
    <row r="7" spans="1:15">
      <c r="A7">
        <v>1006</v>
      </c>
      <c r="B7" t="s">
        <v>37</v>
      </c>
      <c r="C7" t="s">
        <v>38</v>
      </c>
      <c r="D7" t="s">
        <v>6</v>
      </c>
      <c r="E7" t="s">
        <v>29</v>
      </c>
      <c r="F7">
        <v>9</v>
      </c>
      <c r="G7">
        <v>50000</v>
      </c>
      <c r="H7">
        <v>15</v>
      </c>
      <c r="I7">
        <v>450000</v>
      </c>
      <c r="J7">
        <v>67500</v>
      </c>
      <c r="K7">
        <v>9000</v>
      </c>
      <c r="L7">
        <f t="shared" si="0"/>
        <v>1800</v>
      </c>
      <c r="N7" s="2" t="s">
        <v>39</v>
      </c>
      <c r="O7">
        <f>COUNT(A2:A501)</f>
        <v>500</v>
      </c>
    </row>
    <row r="8" spans="1:15">
      <c r="A8">
        <v>1007</v>
      </c>
      <c r="B8" t="s">
        <v>40</v>
      </c>
      <c r="C8" t="s">
        <v>21</v>
      </c>
      <c r="D8" t="s">
        <v>32</v>
      </c>
      <c r="E8" t="s">
        <v>41</v>
      </c>
      <c r="F8">
        <v>9</v>
      </c>
      <c r="G8">
        <v>500</v>
      </c>
      <c r="H8">
        <v>0</v>
      </c>
      <c r="I8">
        <v>4500</v>
      </c>
      <c r="J8">
        <v>0</v>
      </c>
      <c r="K8">
        <v>9000</v>
      </c>
      <c r="L8">
        <f t="shared" si="0"/>
        <v>1800</v>
      </c>
    </row>
    <row r="9" spans="1:15" ht="13.5" customHeight="1">
      <c r="A9">
        <v>1008</v>
      </c>
      <c r="B9" t="s">
        <v>42</v>
      </c>
      <c r="C9" t="s">
        <v>28</v>
      </c>
      <c r="D9" t="s">
        <v>32</v>
      </c>
      <c r="E9" t="s">
        <v>33</v>
      </c>
      <c r="F9">
        <v>8</v>
      </c>
      <c r="G9">
        <v>5000</v>
      </c>
      <c r="H9">
        <v>2</v>
      </c>
      <c r="I9">
        <v>40000</v>
      </c>
      <c r="J9">
        <v>800</v>
      </c>
      <c r="K9">
        <v>9000</v>
      </c>
      <c r="L9">
        <f t="shared" si="0"/>
        <v>1800</v>
      </c>
      <c r="N9" s="3" t="s">
        <v>43</v>
      </c>
      <c r="O9" t="s">
        <v>44</v>
      </c>
    </row>
    <row r="10" spans="1:15" ht="14.25" customHeight="1">
      <c r="A10">
        <v>1009</v>
      </c>
      <c r="B10" t="s">
        <v>45</v>
      </c>
      <c r="C10" t="s">
        <v>46</v>
      </c>
      <c r="D10" t="s">
        <v>47</v>
      </c>
      <c r="E10" t="s">
        <v>48</v>
      </c>
      <c r="F10">
        <v>2</v>
      </c>
      <c r="G10">
        <v>20000</v>
      </c>
      <c r="H10">
        <v>5</v>
      </c>
      <c r="I10">
        <v>40000</v>
      </c>
      <c r="J10">
        <v>2000</v>
      </c>
      <c r="K10">
        <v>9000</v>
      </c>
      <c r="L10">
        <f t="shared" si="0"/>
        <v>1800</v>
      </c>
      <c r="N10" s="4" t="str">
        <f>IF(K400&lt;40000,"HIGH SALE","LOW SALE")</f>
        <v>LOW SALE</v>
      </c>
    </row>
    <row r="11" spans="1:15" ht="11.25" customHeight="1">
      <c r="A11">
        <v>1010</v>
      </c>
      <c r="B11" t="s">
        <v>49</v>
      </c>
      <c r="C11" t="s">
        <v>50</v>
      </c>
      <c r="D11" t="s">
        <v>32</v>
      </c>
      <c r="E11" t="s">
        <v>51</v>
      </c>
      <c r="F11">
        <v>9</v>
      </c>
      <c r="G11">
        <v>5000</v>
      </c>
      <c r="H11">
        <v>10</v>
      </c>
      <c r="I11">
        <v>45000</v>
      </c>
      <c r="J11">
        <v>4500</v>
      </c>
      <c r="K11">
        <v>9000</v>
      </c>
      <c r="L11">
        <f t="shared" si="0"/>
        <v>1800</v>
      </c>
    </row>
    <row r="12" spans="1:15" ht="17.25" customHeight="1">
      <c r="A12">
        <v>1011</v>
      </c>
      <c r="B12" t="s">
        <v>52</v>
      </c>
      <c r="C12" t="s">
        <v>50</v>
      </c>
      <c r="D12" t="s">
        <v>6</v>
      </c>
      <c r="E12" t="s">
        <v>29</v>
      </c>
      <c r="F12">
        <v>8</v>
      </c>
      <c r="G12">
        <v>50000</v>
      </c>
      <c r="H12">
        <v>10</v>
      </c>
      <c r="I12">
        <v>400000</v>
      </c>
      <c r="J12">
        <v>40000</v>
      </c>
      <c r="K12">
        <v>360000</v>
      </c>
      <c r="L12">
        <f t="shared" si="0"/>
        <v>72000</v>
      </c>
      <c r="N12" s="1" t="s">
        <v>53</v>
      </c>
      <c r="O12" s="4" t="s">
        <v>54</v>
      </c>
    </row>
    <row r="13" spans="1:15">
      <c r="A13">
        <v>1012</v>
      </c>
      <c r="B13" t="s">
        <v>55</v>
      </c>
      <c r="C13" t="s">
        <v>56</v>
      </c>
      <c r="D13" t="s">
        <v>6</v>
      </c>
      <c r="E13" t="s">
        <v>29</v>
      </c>
      <c r="F13">
        <v>9</v>
      </c>
      <c r="G13">
        <v>10000</v>
      </c>
      <c r="H13">
        <v>0</v>
      </c>
      <c r="I13">
        <v>90000</v>
      </c>
      <c r="J13">
        <v>0</v>
      </c>
      <c r="K13">
        <v>90000</v>
      </c>
      <c r="L13">
        <f t="shared" si="0"/>
        <v>18000</v>
      </c>
      <c r="N13" s="4">
        <f>_xlfn.XLOOKUP(G14,I:I,J:J)</f>
        <v>120</v>
      </c>
    </row>
    <row r="14" spans="1:15">
      <c r="A14">
        <v>1013</v>
      </c>
      <c r="B14" t="s">
        <v>57</v>
      </c>
      <c r="C14" t="s">
        <v>58</v>
      </c>
      <c r="D14" t="s">
        <v>6</v>
      </c>
      <c r="E14" t="s">
        <v>22</v>
      </c>
      <c r="F14">
        <v>10</v>
      </c>
      <c r="G14">
        <v>800</v>
      </c>
      <c r="H14">
        <v>10</v>
      </c>
      <c r="I14">
        <v>8000</v>
      </c>
      <c r="J14">
        <v>800</v>
      </c>
      <c r="K14">
        <v>7200</v>
      </c>
      <c r="L14">
        <f t="shared" si="0"/>
        <v>1440</v>
      </c>
      <c r="N14" s="5" t="s">
        <v>59</v>
      </c>
      <c r="O14" t="s">
        <v>60</v>
      </c>
    </row>
    <row r="15" spans="1:15">
      <c r="A15">
        <v>1014</v>
      </c>
      <c r="B15" t="s">
        <v>61</v>
      </c>
      <c r="C15" t="s">
        <v>58</v>
      </c>
      <c r="D15" t="s">
        <v>6</v>
      </c>
      <c r="E15" t="s">
        <v>29</v>
      </c>
      <c r="F15">
        <v>5</v>
      </c>
      <c r="G15">
        <v>500</v>
      </c>
      <c r="H15">
        <v>15</v>
      </c>
      <c r="I15">
        <v>2500</v>
      </c>
      <c r="J15">
        <v>375</v>
      </c>
      <c r="K15">
        <v>2125</v>
      </c>
      <c r="L15">
        <f t="shared" si="0"/>
        <v>425</v>
      </c>
      <c r="N15" s="4">
        <f>SUMIFS(K:K,D:D,"Fashion")</f>
        <v>10130197</v>
      </c>
    </row>
    <row r="16" spans="1:15">
      <c r="A16">
        <v>1015</v>
      </c>
      <c r="B16" t="s">
        <v>57</v>
      </c>
      <c r="C16" t="s">
        <v>25</v>
      </c>
      <c r="D16" t="s">
        <v>32</v>
      </c>
      <c r="E16" t="s">
        <v>33</v>
      </c>
      <c r="F16">
        <v>1</v>
      </c>
      <c r="G16">
        <v>800</v>
      </c>
      <c r="H16">
        <v>15</v>
      </c>
      <c r="I16">
        <v>800</v>
      </c>
      <c r="J16">
        <v>120</v>
      </c>
      <c r="K16">
        <v>680</v>
      </c>
      <c r="L16">
        <f t="shared" si="0"/>
        <v>136</v>
      </c>
    </row>
    <row r="17" spans="1:15">
      <c r="A17">
        <v>1016</v>
      </c>
      <c r="B17" t="s">
        <v>62</v>
      </c>
      <c r="C17" t="s">
        <v>50</v>
      </c>
      <c r="D17" t="s">
        <v>32</v>
      </c>
      <c r="E17" t="s">
        <v>41</v>
      </c>
      <c r="F17">
        <v>9</v>
      </c>
      <c r="G17">
        <v>5000</v>
      </c>
      <c r="H17">
        <v>10</v>
      </c>
      <c r="I17">
        <v>45000</v>
      </c>
      <c r="J17">
        <v>4500</v>
      </c>
      <c r="K17">
        <v>40500</v>
      </c>
      <c r="L17">
        <f t="shared" si="0"/>
        <v>8100</v>
      </c>
      <c r="N17" s="1" t="s">
        <v>63</v>
      </c>
      <c r="O17" t="s">
        <v>64</v>
      </c>
    </row>
    <row r="18" spans="1:15">
      <c r="A18">
        <v>1017</v>
      </c>
      <c r="B18" t="s">
        <v>65</v>
      </c>
      <c r="C18" t="s">
        <v>66</v>
      </c>
      <c r="D18" t="s">
        <v>32</v>
      </c>
      <c r="E18" t="s">
        <v>41</v>
      </c>
      <c r="F18">
        <v>1</v>
      </c>
      <c r="G18">
        <v>1200</v>
      </c>
      <c r="H18">
        <v>0</v>
      </c>
      <c r="I18">
        <v>1200</v>
      </c>
      <c r="J18">
        <v>0</v>
      </c>
      <c r="K18">
        <v>1200</v>
      </c>
      <c r="L18">
        <f t="shared" si="0"/>
        <v>240</v>
      </c>
      <c r="N18">
        <f>COUNTIFS(D:D,"Electronics")</f>
        <v>179</v>
      </c>
    </row>
    <row r="19" spans="1:15">
      <c r="A19">
        <v>1018</v>
      </c>
      <c r="B19" t="s">
        <v>67</v>
      </c>
      <c r="C19" t="s">
        <v>21</v>
      </c>
      <c r="D19" t="s">
        <v>32</v>
      </c>
      <c r="E19" t="s">
        <v>33</v>
      </c>
      <c r="F19">
        <v>4</v>
      </c>
      <c r="G19">
        <v>5000</v>
      </c>
      <c r="H19">
        <v>10</v>
      </c>
      <c r="I19">
        <v>20000</v>
      </c>
      <c r="J19">
        <v>2000</v>
      </c>
      <c r="K19">
        <v>18000</v>
      </c>
      <c r="L19">
        <f t="shared" si="0"/>
        <v>3600</v>
      </c>
      <c r="N19">
        <f>COUNTIFS(I:I,2500)</f>
        <v>12</v>
      </c>
    </row>
    <row r="20" spans="1:15">
      <c r="A20">
        <v>1019</v>
      </c>
      <c r="B20" t="s">
        <v>68</v>
      </c>
      <c r="C20" t="s">
        <v>50</v>
      </c>
      <c r="D20" t="s">
        <v>6</v>
      </c>
      <c r="E20" t="s">
        <v>29</v>
      </c>
      <c r="F20">
        <v>9</v>
      </c>
      <c r="G20">
        <v>10000</v>
      </c>
      <c r="H20">
        <v>2</v>
      </c>
      <c r="I20">
        <v>90000</v>
      </c>
      <c r="J20">
        <v>1800</v>
      </c>
      <c r="K20">
        <v>88200</v>
      </c>
      <c r="L20">
        <f t="shared" si="0"/>
        <v>17640</v>
      </c>
    </row>
    <row r="21" spans="1:15">
      <c r="A21">
        <v>1020</v>
      </c>
      <c r="B21" t="s">
        <v>69</v>
      </c>
      <c r="C21" t="s">
        <v>70</v>
      </c>
      <c r="D21" t="s">
        <v>47</v>
      </c>
      <c r="E21" t="s">
        <v>71</v>
      </c>
      <c r="F21">
        <v>3</v>
      </c>
      <c r="G21">
        <v>50000</v>
      </c>
      <c r="H21">
        <v>2</v>
      </c>
      <c r="I21">
        <v>150000</v>
      </c>
      <c r="J21">
        <v>3000</v>
      </c>
      <c r="K21">
        <v>147000</v>
      </c>
      <c r="L21">
        <f t="shared" si="0"/>
        <v>29400</v>
      </c>
    </row>
    <row r="22" spans="1:15">
      <c r="A22">
        <v>1021</v>
      </c>
      <c r="B22" t="s">
        <v>72</v>
      </c>
      <c r="C22" t="s">
        <v>46</v>
      </c>
      <c r="D22" t="s">
        <v>47</v>
      </c>
      <c r="E22" t="s">
        <v>71</v>
      </c>
      <c r="F22">
        <v>6</v>
      </c>
      <c r="G22">
        <v>500</v>
      </c>
      <c r="H22">
        <v>10</v>
      </c>
      <c r="I22">
        <v>3000</v>
      </c>
      <c r="J22">
        <v>300</v>
      </c>
      <c r="K22">
        <v>2700</v>
      </c>
      <c r="L22">
        <f t="shared" si="0"/>
        <v>540</v>
      </c>
    </row>
    <row r="23" spans="1:15">
      <c r="A23">
        <v>1022</v>
      </c>
      <c r="B23" t="s">
        <v>73</v>
      </c>
      <c r="C23" t="s">
        <v>58</v>
      </c>
      <c r="D23" t="s">
        <v>32</v>
      </c>
      <c r="E23" t="s">
        <v>51</v>
      </c>
      <c r="F23">
        <v>2</v>
      </c>
      <c r="G23">
        <v>1200</v>
      </c>
      <c r="H23">
        <v>10</v>
      </c>
      <c r="I23">
        <v>2400</v>
      </c>
      <c r="J23">
        <v>240</v>
      </c>
      <c r="K23">
        <v>2160</v>
      </c>
      <c r="L23">
        <f t="shared" si="0"/>
        <v>432</v>
      </c>
    </row>
    <row r="24" spans="1:15">
      <c r="A24">
        <v>1023</v>
      </c>
      <c r="B24" t="s">
        <v>74</v>
      </c>
      <c r="C24" t="s">
        <v>21</v>
      </c>
      <c r="D24" t="s">
        <v>47</v>
      </c>
      <c r="E24" t="s">
        <v>75</v>
      </c>
      <c r="F24">
        <v>9</v>
      </c>
      <c r="G24">
        <v>20000</v>
      </c>
      <c r="H24">
        <v>10</v>
      </c>
      <c r="I24">
        <v>180000</v>
      </c>
      <c r="J24">
        <v>18000</v>
      </c>
      <c r="K24">
        <v>162000</v>
      </c>
      <c r="L24">
        <f t="shared" si="0"/>
        <v>32400</v>
      </c>
    </row>
    <row r="25" spans="1:15">
      <c r="A25">
        <v>1024</v>
      </c>
      <c r="B25" t="s">
        <v>76</v>
      </c>
      <c r="C25" t="s">
        <v>58</v>
      </c>
      <c r="D25" t="s">
        <v>6</v>
      </c>
      <c r="E25" t="s">
        <v>29</v>
      </c>
      <c r="F25">
        <v>8</v>
      </c>
      <c r="G25">
        <v>5000</v>
      </c>
      <c r="H25">
        <v>15</v>
      </c>
      <c r="I25">
        <v>40000</v>
      </c>
      <c r="J25">
        <v>6000</v>
      </c>
      <c r="K25">
        <v>34000</v>
      </c>
      <c r="L25">
        <f t="shared" si="0"/>
        <v>6800</v>
      </c>
    </row>
    <row r="26" spans="1:15">
      <c r="A26">
        <v>1025</v>
      </c>
      <c r="B26" t="s">
        <v>77</v>
      </c>
      <c r="C26" t="s">
        <v>38</v>
      </c>
      <c r="D26" t="s">
        <v>47</v>
      </c>
      <c r="E26" t="s">
        <v>75</v>
      </c>
      <c r="F26">
        <v>8</v>
      </c>
      <c r="G26">
        <v>5000</v>
      </c>
      <c r="H26">
        <v>2</v>
      </c>
      <c r="I26">
        <v>40000</v>
      </c>
      <c r="J26">
        <v>800</v>
      </c>
      <c r="K26">
        <v>39200</v>
      </c>
      <c r="L26">
        <f t="shared" si="0"/>
        <v>7840</v>
      </c>
    </row>
    <row r="27" spans="1:15">
      <c r="A27">
        <v>1026</v>
      </c>
      <c r="B27" t="s">
        <v>78</v>
      </c>
      <c r="C27" t="s">
        <v>25</v>
      </c>
      <c r="D27" t="s">
        <v>47</v>
      </c>
      <c r="E27" t="s">
        <v>71</v>
      </c>
      <c r="F27">
        <v>7</v>
      </c>
      <c r="G27">
        <v>10000</v>
      </c>
      <c r="H27">
        <v>15</v>
      </c>
      <c r="I27">
        <v>70000</v>
      </c>
      <c r="J27">
        <v>10500</v>
      </c>
      <c r="K27">
        <v>59500</v>
      </c>
      <c r="L27">
        <f t="shared" si="0"/>
        <v>11900</v>
      </c>
    </row>
    <row r="28" spans="1:15">
      <c r="A28">
        <v>1027</v>
      </c>
      <c r="B28" t="s">
        <v>79</v>
      </c>
      <c r="C28" t="s">
        <v>46</v>
      </c>
      <c r="D28" t="s">
        <v>32</v>
      </c>
      <c r="E28" t="s">
        <v>51</v>
      </c>
      <c r="F28">
        <v>3</v>
      </c>
      <c r="G28">
        <v>10000</v>
      </c>
      <c r="H28">
        <v>15</v>
      </c>
      <c r="I28">
        <v>30000</v>
      </c>
      <c r="J28">
        <v>4500</v>
      </c>
      <c r="K28">
        <v>25500</v>
      </c>
      <c r="L28">
        <f t="shared" si="0"/>
        <v>5100</v>
      </c>
    </row>
    <row r="29" spans="1:15">
      <c r="A29">
        <v>1028</v>
      </c>
      <c r="B29" t="s">
        <v>52</v>
      </c>
      <c r="C29" t="s">
        <v>28</v>
      </c>
      <c r="D29" t="s">
        <v>6</v>
      </c>
      <c r="E29" t="s">
        <v>29</v>
      </c>
      <c r="F29">
        <v>7</v>
      </c>
      <c r="G29">
        <v>2500</v>
      </c>
      <c r="H29">
        <v>2</v>
      </c>
      <c r="I29">
        <v>17500</v>
      </c>
      <c r="J29">
        <v>350</v>
      </c>
      <c r="K29">
        <v>17150</v>
      </c>
      <c r="L29">
        <f t="shared" si="0"/>
        <v>3430</v>
      </c>
    </row>
    <row r="30" spans="1:15">
      <c r="A30">
        <v>1029</v>
      </c>
      <c r="B30" t="s">
        <v>80</v>
      </c>
      <c r="C30" t="s">
        <v>50</v>
      </c>
      <c r="D30" t="s">
        <v>47</v>
      </c>
      <c r="E30" t="s">
        <v>71</v>
      </c>
      <c r="F30">
        <v>7</v>
      </c>
      <c r="G30">
        <v>5000</v>
      </c>
      <c r="H30">
        <v>0</v>
      </c>
      <c r="I30">
        <v>35000</v>
      </c>
      <c r="J30">
        <v>0</v>
      </c>
      <c r="K30">
        <v>35000</v>
      </c>
      <c r="L30">
        <f t="shared" si="0"/>
        <v>7000</v>
      </c>
    </row>
    <row r="31" spans="1:15">
      <c r="A31">
        <v>1030</v>
      </c>
      <c r="B31" t="s">
        <v>81</v>
      </c>
      <c r="C31" t="s">
        <v>28</v>
      </c>
      <c r="D31" t="s">
        <v>32</v>
      </c>
      <c r="E31" t="s">
        <v>33</v>
      </c>
      <c r="F31">
        <v>6</v>
      </c>
      <c r="G31">
        <v>500</v>
      </c>
      <c r="H31">
        <v>2</v>
      </c>
      <c r="I31">
        <v>3000</v>
      </c>
      <c r="J31">
        <v>60</v>
      </c>
      <c r="K31">
        <v>2940</v>
      </c>
      <c r="L31">
        <f t="shared" si="0"/>
        <v>588</v>
      </c>
    </row>
    <row r="32" spans="1:15">
      <c r="A32">
        <v>1031</v>
      </c>
      <c r="B32" t="s">
        <v>82</v>
      </c>
      <c r="C32" t="s">
        <v>25</v>
      </c>
      <c r="D32" t="s">
        <v>47</v>
      </c>
      <c r="E32" t="s">
        <v>48</v>
      </c>
      <c r="F32">
        <v>1</v>
      </c>
      <c r="G32">
        <v>20000</v>
      </c>
      <c r="H32">
        <v>0</v>
      </c>
      <c r="I32">
        <v>20000</v>
      </c>
      <c r="J32">
        <v>0</v>
      </c>
      <c r="K32">
        <v>20000</v>
      </c>
      <c r="L32">
        <f t="shared" si="0"/>
        <v>4000</v>
      </c>
    </row>
    <row r="33" spans="1:12">
      <c r="A33">
        <v>1032</v>
      </c>
      <c r="B33" t="s">
        <v>83</v>
      </c>
      <c r="C33" t="s">
        <v>58</v>
      </c>
      <c r="D33" t="s">
        <v>32</v>
      </c>
      <c r="E33" t="s">
        <v>51</v>
      </c>
      <c r="F33">
        <v>8</v>
      </c>
      <c r="G33">
        <v>800</v>
      </c>
      <c r="H33">
        <v>5</v>
      </c>
      <c r="I33">
        <v>6400</v>
      </c>
      <c r="J33">
        <v>320</v>
      </c>
      <c r="K33">
        <v>6080</v>
      </c>
      <c r="L33">
        <f t="shared" si="0"/>
        <v>1216</v>
      </c>
    </row>
    <row r="34" spans="1:12">
      <c r="A34">
        <v>1033</v>
      </c>
      <c r="B34" t="s">
        <v>84</v>
      </c>
      <c r="C34" t="s">
        <v>28</v>
      </c>
      <c r="D34" t="s">
        <v>6</v>
      </c>
      <c r="E34" t="s">
        <v>9</v>
      </c>
      <c r="F34">
        <v>2</v>
      </c>
      <c r="G34">
        <v>500</v>
      </c>
      <c r="H34">
        <v>15</v>
      </c>
      <c r="I34">
        <v>1000</v>
      </c>
      <c r="J34">
        <v>150</v>
      </c>
      <c r="K34">
        <v>850</v>
      </c>
      <c r="L34">
        <f t="shared" si="0"/>
        <v>170</v>
      </c>
    </row>
    <row r="35" spans="1:12">
      <c r="A35">
        <v>1034</v>
      </c>
      <c r="B35" t="s">
        <v>85</v>
      </c>
      <c r="C35" t="s">
        <v>46</v>
      </c>
      <c r="D35" t="s">
        <v>47</v>
      </c>
      <c r="E35" t="s">
        <v>48</v>
      </c>
      <c r="F35">
        <v>3</v>
      </c>
      <c r="G35">
        <v>5000</v>
      </c>
      <c r="H35">
        <v>0</v>
      </c>
      <c r="I35">
        <v>15000</v>
      </c>
      <c r="J35">
        <v>0</v>
      </c>
      <c r="K35">
        <v>15000</v>
      </c>
      <c r="L35">
        <f t="shared" si="0"/>
        <v>3000</v>
      </c>
    </row>
    <row r="36" spans="1:12">
      <c r="A36">
        <v>1035</v>
      </c>
      <c r="B36" t="s">
        <v>86</v>
      </c>
      <c r="C36" t="s">
        <v>70</v>
      </c>
      <c r="D36" t="s">
        <v>6</v>
      </c>
      <c r="E36" t="s">
        <v>9</v>
      </c>
      <c r="F36">
        <v>10</v>
      </c>
      <c r="G36">
        <v>5000</v>
      </c>
      <c r="H36">
        <v>5</v>
      </c>
      <c r="I36">
        <v>50000</v>
      </c>
      <c r="J36">
        <v>2500</v>
      </c>
      <c r="K36">
        <v>47500</v>
      </c>
      <c r="L36">
        <f t="shared" si="0"/>
        <v>9500</v>
      </c>
    </row>
    <row r="37" spans="1:12">
      <c r="A37">
        <v>1036</v>
      </c>
      <c r="B37" t="s">
        <v>87</v>
      </c>
      <c r="C37" t="s">
        <v>50</v>
      </c>
      <c r="D37" t="s">
        <v>47</v>
      </c>
      <c r="E37" t="s">
        <v>48</v>
      </c>
      <c r="F37">
        <v>8</v>
      </c>
      <c r="G37">
        <v>5000</v>
      </c>
      <c r="H37">
        <v>0</v>
      </c>
      <c r="I37">
        <v>40000</v>
      </c>
      <c r="J37">
        <v>0</v>
      </c>
      <c r="K37">
        <v>40000</v>
      </c>
      <c r="L37">
        <f t="shared" si="0"/>
        <v>8000</v>
      </c>
    </row>
    <row r="38" spans="1:12">
      <c r="A38">
        <v>1037</v>
      </c>
      <c r="B38" t="s">
        <v>88</v>
      </c>
      <c r="C38" t="s">
        <v>66</v>
      </c>
      <c r="D38" t="s">
        <v>47</v>
      </c>
      <c r="E38" t="s">
        <v>75</v>
      </c>
      <c r="F38">
        <v>4</v>
      </c>
      <c r="G38">
        <v>5000</v>
      </c>
      <c r="H38">
        <v>10</v>
      </c>
      <c r="I38">
        <v>20000</v>
      </c>
      <c r="J38">
        <v>2000</v>
      </c>
      <c r="K38">
        <v>18000</v>
      </c>
      <c r="L38">
        <f t="shared" si="0"/>
        <v>3600</v>
      </c>
    </row>
    <row r="39" spans="1:12">
      <c r="A39">
        <v>1038</v>
      </c>
      <c r="B39" t="s">
        <v>89</v>
      </c>
      <c r="C39" t="s">
        <v>66</v>
      </c>
      <c r="D39" t="s">
        <v>47</v>
      </c>
      <c r="E39" t="s">
        <v>75</v>
      </c>
      <c r="F39">
        <v>9</v>
      </c>
      <c r="G39">
        <v>50000</v>
      </c>
      <c r="H39">
        <v>10</v>
      </c>
      <c r="I39">
        <v>450000</v>
      </c>
      <c r="J39">
        <v>45000</v>
      </c>
      <c r="K39">
        <v>405000</v>
      </c>
      <c r="L39">
        <f t="shared" si="0"/>
        <v>81000</v>
      </c>
    </row>
    <row r="40" spans="1:12">
      <c r="A40">
        <v>1039</v>
      </c>
      <c r="B40" t="s">
        <v>90</v>
      </c>
      <c r="C40" t="s">
        <v>25</v>
      </c>
      <c r="D40" t="s">
        <v>47</v>
      </c>
      <c r="E40" t="s">
        <v>48</v>
      </c>
      <c r="F40">
        <v>1</v>
      </c>
      <c r="G40">
        <v>50000</v>
      </c>
      <c r="H40">
        <v>5</v>
      </c>
      <c r="I40">
        <v>50000</v>
      </c>
      <c r="J40">
        <v>2500</v>
      </c>
      <c r="K40">
        <v>47500</v>
      </c>
      <c r="L40">
        <f t="shared" si="0"/>
        <v>9500</v>
      </c>
    </row>
    <row r="41" spans="1:12">
      <c r="A41">
        <v>1040</v>
      </c>
      <c r="B41" t="s">
        <v>84</v>
      </c>
      <c r="C41" t="s">
        <v>46</v>
      </c>
      <c r="D41" t="s">
        <v>6</v>
      </c>
      <c r="E41" t="s">
        <v>22</v>
      </c>
      <c r="F41">
        <v>10</v>
      </c>
      <c r="G41">
        <v>2500</v>
      </c>
      <c r="H41">
        <v>5</v>
      </c>
      <c r="I41">
        <v>25000</v>
      </c>
      <c r="J41">
        <v>1250</v>
      </c>
      <c r="K41">
        <v>23750</v>
      </c>
      <c r="L41">
        <f t="shared" si="0"/>
        <v>4750</v>
      </c>
    </row>
    <row r="42" spans="1:12">
      <c r="A42">
        <v>1041</v>
      </c>
      <c r="B42" t="s">
        <v>91</v>
      </c>
      <c r="C42" t="s">
        <v>38</v>
      </c>
      <c r="D42" t="s">
        <v>6</v>
      </c>
      <c r="E42" t="s">
        <v>9</v>
      </c>
      <c r="F42">
        <v>7</v>
      </c>
      <c r="G42">
        <v>500</v>
      </c>
      <c r="H42">
        <v>0</v>
      </c>
      <c r="I42">
        <v>3500</v>
      </c>
      <c r="J42">
        <v>0</v>
      </c>
      <c r="K42">
        <v>3500</v>
      </c>
      <c r="L42">
        <f t="shared" si="0"/>
        <v>700</v>
      </c>
    </row>
    <row r="43" spans="1:12">
      <c r="A43">
        <v>1042</v>
      </c>
      <c r="B43" t="s">
        <v>92</v>
      </c>
      <c r="C43" t="s">
        <v>38</v>
      </c>
      <c r="D43" t="s">
        <v>32</v>
      </c>
      <c r="E43" t="s">
        <v>33</v>
      </c>
      <c r="F43">
        <v>4</v>
      </c>
      <c r="G43">
        <v>5000</v>
      </c>
      <c r="H43">
        <v>15</v>
      </c>
      <c r="I43">
        <v>20000</v>
      </c>
      <c r="J43">
        <v>3000</v>
      </c>
      <c r="K43">
        <v>17000</v>
      </c>
      <c r="L43">
        <f t="shared" si="0"/>
        <v>3400</v>
      </c>
    </row>
    <row r="44" spans="1:12">
      <c r="A44">
        <v>1043</v>
      </c>
      <c r="B44" t="s">
        <v>93</v>
      </c>
      <c r="C44" t="s">
        <v>70</v>
      </c>
      <c r="D44" t="s">
        <v>47</v>
      </c>
      <c r="E44" t="s">
        <v>71</v>
      </c>
      <c r="F44">
        <v>1</v>
      </c>
      <c r="G44">
        <v>800</v>
      </c>
      <c r="H44">
        <v>5</v>
      </c>
      <c r="I44">
        <v>800</v>
      </c>
      <c r="J44">
        <v>40</v>
      </c>
      <c r="K44">
        <v>760</v>
      </c>
      <c r="L44">
        <f t="shared" si="0"/>
        <v>152</v>
      </c>
    </row>
    <row r="45" spans="1:12">
      <c r="A45">
        <v>1044</v>
      </c>
      <c r="B45" t="s">
        <v>89</v>
      </c>
      <c r="C45" t="s">
        <v>58</v>
      </c>
      <c r="D45" t="s">
        <v>47</v>
      </c>
      <c r="E45" t="s">
        <v>71</v>
      </c>
      <c r="F45">
        <v>7</v>
      </c>
      <c r="G45">
        <v>500</v>
      </c>
      <c r="H45">
        <v>0</v>
      </c>
      <c r="I45">
        <v>3500</v>
      </c>
      <c r="J45">
        <v>0</v>
      </c>
      <c r="K45">
        <v>3500</v>
      </c>
      <c r="L45">
        <f t="shared" si="0"/>
        <v>700</v>
      </c>
    </row>
    <row r="46" spans="1:12">
      <c r="A46">
        <v>1045</v>
      </c>
      <c r="B46" t="s">
        <v>94</v>
      </c>
      <c r="C46" t="s">
        <v>38</v>
      </c>
      <c r="D46" t="s">
        <v>32</v>
      </c>
      <c r="E46" t="s">
        <v>51</v>
      </c>
      <c r="F46">
        <v>1</v>
      </c>
      <c r="G46">
        <v>800</v>
      </c>
      <c r="H46">
        <v>15</v>
      </c>
      <c r="I46">
        <v>800</v>
      </c>
      <c r="J46">
        <v>120</v>
      </c>
      <c r="K46">
        <v>680</v>
      </c>
      <c r="L46">
        <f t="shared" si="0"/>
        <v>136</v>
      </c>
    </row>
    <row r="47" spans="1:12">
      <c r="A47">
        <v>1046</v>
      </c>
      <c r="B47" t="s">
        <v>95</v>
      </c>
      <c r="C47" t="s">
        <v>28</v>
      </c>
      <c r="D47" t="s">
        <v>6</v>
      </c>
      <c r="E47" t="s">
        <v>9</v>
      </c>
      <c r="F47">
        <v>5</v>
      </c>
      <c r="G47">
        <v>5000</v>
      </c>
      <c r="H47">
        <v>5</v>
      </c>
      <c r="I47">
        <v>25000</v>
      </c>
      <c r="J47">
        <v>1250</v>
      </c>
      <c r="K47">
        <v>23750</v>
      </c>
      <c r="L47">
        <f t="shared" si="0"/>
        <v>4750</v>
      </c>
    </row>
    <row r="48" spans="1:12">
      <c r="A48">
        <v>1047</v>
      </c>
      <c r="B48" t="s">
        <v>96</v>
      </c>
      <c r="C48" t="s">
        <v>50</v>
      </c>
      <c r="D48" t="s">
        <v>47</v>
      </c>
      <c r="E48" t="s">
        <v>71</v>
      </c>
      <c r="F48">
        <v>10</v>
      </c>
      <c r="G48">
        <v>20000</v>
      </c>
      <c r="H48">
        <v>0</v>
      </c>
      <c r="I48">
        <v>200000</v>
      </c>
      <c r="J48">
        <v>0</v>
      </c>
      <c r="K48">
        <v>200000</v>
      </c>
      <c r="L48">
        <f t="shared" si="0"/>
        <v>40000</v>
      </c>
    </row>
    <row r="49" spans="1:12">
      <c r="A49">
        <v>1048</v>
      </c>
      <c r="B49" t="s">
        <v>97</v>
      </c>
      <c r="C49" t="s">
        <v>46</v>
      </c>
      <c r="D49" t="s">
        <v>32</v>
      </c>
      <c r="E49" t="s">
        <v>33</v>
      </c>
      <c r="F49">
        <v>5</v>
      </c>
      <c r="G49">
        <v>2500</v>
      </c>
      <c r="H49">
        <v>15</v>
      </c>
      <c r="I49">
        <v>12500</v>
      </c>
      <c r="J49">
        <v>1875</v>
      </c>
      <c r="K49">
        <v>10625</v>
      </c>
      <c r="L49">
        <f t="shared" si="0"/>
        <v>2125</v>
      </c>
    </row>
    <row r="50" spans="1:12">
      <c r="A50">
        <v>1049</v>
      </c>
      <c r="B50" t="s">
        <v>98</v>
      </c>
      <c r="C50" t="s">
        <v>25</v>
      </c>
      <c r="D50" t="s">
        <v>32</v>
      </c>
      <c r="E50" t="s">
        <v>33</v>
      </c>
      <c r="F50">
        <v>10</v>
      </c>
      <c r="G50">
        <v>2500</v>
      </c>
      <c r="H50">
        <v>2</v>
      </c>
      <c r="I50">
        <v>25000</v>
      </c>
      <c r="J50">
        <v>500</v>
      </c>
      <c r="K50">
        <v>24500</v>
      </c>
      <c r="L50">
        <f t="shared" si="0"/>
        <v>4900</v>
      </c>
    </row>
    <row r="51" spans="1:12">
      <c r="A51">
        <v>1050</v>
      </c>
      <c r="B51" t="s">
        <v>99</v>
      </c>
      <c r="C51" t="s">
        <v>38</v>
      </c>
      <c r="D51" t="s">
        <v>47</v>
      </c>
      <c r="E51" t="s">
        <v>48</v>
      </c>
      <c r="F51">
        <v>4</v>
      </c>
      <c r="G51">
        <v>5000</v>
      </c>
      <c r="H51">
        <v>5</v>
      </c>
      <c r="I51">
        <v>20000</v>
      </c>
      <c r="J51">
        <v>1000</v>
      </c>
      <c r="K51">
        <v>19000</v>
      </c>
      <c r="L51">
        <f t="shared" si="0"/>
        <v>3800</v>
      </c>
    </row>
    <row r="52" spans="1:12">
      <c r="A52">
        <v>1051</v>
      </c>
      <c r="B52" t="s">
        <v>100</v>
      </c>
      <c r="C52" t="s">
        <v>56</v>
      </c>
      <c r="D52" t="s">
        <v>6</v>
      </c>
      <c r="E52" t="s">
        <v>22</v>
      </c>
      <c r="F52">
        <v>6</v>
      </c>
      <c r="G52">
        <v>50000</v>
      </c>
      <c r="H52">
        <v>10</v>
      </c>
      <c r="I52">
        <v>300000</v>
      </c>
      <c r="J52">
        <v>30000</v>
      </c>
      <c r="K52">
        <v>270000</v>
      </c>
      <c r="L52">
        <f t="shared" si="0"/>
        <v>54000</v>
      </c>
    </row>
    <row r="53" spans="1:12">
      <c r="A53">
        <v>1052</v>
      </c>
      <c r="B53" t="s">
        <v>101</v>
      </c>
      <c r="C53" t="s">
        <v>46</v>
      </c>
      <c r="D53" t="s">
        <v>47</v>
      </c>
      <c r="E53" t="s">
        <v>75</v>
      </c>
      <c r="F53">
        <v>7</v>
      </c>
      <c r="G53">
        <v>1200</v>
      </c>
      <c r="H53">
        <v>15</v>
      </c>
      <c r="I53">
        <v>8400</v>
      </c>
      <c r="J53">
        <v>1260</v>
      </c>
      <c r="K53">
        <v>7140</v>
      </c>
      <c r="L53">
        <f t="shared" si="0"/>
        <v>1428</v>
      </c>
    </row>
    <row r="54" spans="1:12">
      <c r="A54">
        <v>1053</v>
      </c>
      <c r="B54" t="s">
        <v>102</v>
      </c>
      <c r="C54" t="s">
        <v>46</v>
      </c>
      <c r="D54" t="s">
        <v>32</v>
      </c>
      <c r="E54" t="s">
        <v>33</v>
      </c>
      <c r="F54">
        <v>9</v>
      </c>
      <c r="G54">
        <v>50000</v>
      </c>
      <c r="H54">
        <v>10</v>
      </c>
      <c r="I54">
        <v>450000</v>
      </c>
      <c r="J54">
        <v>45000</v>
      </c>
      <c r="K54">
        <v>405000</v>
      </c>
      <c r="L54">
        <f t="shared" si="0"/>
        <v>81000</v>
      </c>
    </row>
    <row r="55" spans="1:12">
      <c r="A55">
        <v>1054</v>
      </c>
      <c r="B55" t="s">
        <v>103</v>
      </c>
      <c r="C55" t="s">
        <v>56</v>
      </c>
      <c r="D55" t="s">
        <v>47</v>
      </c>
      <c r="E55" t="s">
        <v>75</v>
      </c>
      <c r="F55">
        <v>1</v>
      </c>
      <c r="G55">
        <v>2500</v>
      </c>
      <c r="H55">
        <v>2</v>
      </c>
      <c r="I55">
        <v>2500</v>
      </c>
      <c r="J55">
        <v>50</v>
      </c>
      <c r="K55">
        <v>2450</v>
      </c>
      <c r="L55">
        <f t="shared" si="0"/>
        <v>490</v>
      </c>
    </row>
    <row r="56" spans="1:12">
      <c r="A56">
        <v>1055</v>
      </c>
      <c r="B56" t="s">
        <v>104</v>
      </c>
      <c r="C56" t="s">
        <v>25</v>
      </c>
      <c r="D56" t="s">
        <v>6</v>
      </c>
      <c r="E56" t="s">
        <v>9</v>
      </c>
      <c r="F56">
        <v>9</v>
      </c>
      <c r="G56">
        <v>50000</v>
      </c>
      <c r="H56">
        <v>0</v>
      </c>
      <c r="I56">
        <v>450000</v>
      </c>
      <c r="J56">
        <v>0</v>
      </c>
      <c r="K56">
        <v>450000</v>
      </c>
      <c r="L56">
        <f t="shared" si="0"/>
        <v>90000</v>
      </c>
    </row>
    <row r="57" spans="1:12">
      <c r="A57">
        <v>1056</v>
      </c>
      <c r="B57" t="s">
        <v>105</v>
      </c>
      <c r="C57" t="s">
        <v>38</v>
      </c>
      <c r="D57" t="s">
        <v>47</v>
      </c>
      <c r="E57" t="s">
        <v>48</v>
      </c>
      <c r="F57">
        <v>5</v>
      </c>
      <c r="G57">
        <v>5000</v>
      </c>
      <c r="H57">
        <v>0</v>
      </c>
      <c r="I57">
        <v>25000</v>
      </c>
      <c r="J57">
        <v>0</v>
      </c>
      <c r="K57">
        <v>25000</v>
      </c>
      <c r="L57">
        <f t="shared" si="0"/>
        <v>5000</v>
      </c>
    </row>
    <row r="58" spans="1:12">
      <c r="A58">
        <v>1057</v>
      </c>
      <c r="B58" t="s">
        <v>106</v>
      </c>
      <c r="C58" t="s">
        <v>56</v>
      </c>
      <c r="D58" t="s">
        <v>32</v>
      </c>
      <c r="E58" t="s">
        <v>41</v>
      </c>
      <c r="F58">
        <v>7</v>
      </c>
      <c r="G58">
        <v>1200</v>
      </c>
      <c r="H58">
        <v>10</v>
      </c>
      <c r="I58">
        <v>8400</v>
      </c>
      <c r="J58">
        <v>840</v>
      </c>
      <c r="K58">
        <v>7560</v>
      </c>
      <c r="L58">
        <f t="shared" si="0"/>
        <v>1512</v>
      </c>
    </row>
    <row r="59" spans="1:12">
      <c r="A59">
        <v>1058</v>
      </c>
      <c r="B59" t="s">
        <v>107</v>
      </c>
      <c r="C59" t="s">
        <v>56</v>
      </c>
      <c r="D59" t="s">
        <v>47</v>
      </c>
      <c r="E59" t="s">
        <v>75</v>
      </c>
      <c r="F59">
        <v>10</v>
      </c>
      <c r="G59">
        <v>50000</v>
      </c>
      <c r="H59">
        <v>2</v>
      </c>
      <c r="I59">
        <v>500000</v>
      </c>
      <c r="J59">
        <v>10000</v>
      </c>
      <c r="K59">
        <v>490000</v>
      </c>
      <c r="L59">
        <f t="shared" si="0"/>
        <v>98000</v>
      </c>
    </row>
    <row r="60" spans="1:12">
      <c r="A60">
        <v>1059</v>
      </c>
      <c r="B60" t="s">
        <v>108</v>
      </c>
      <c r="C60" t="s">
        <v>28</v>
      </c>
      <c r="D60" t="s">
        <v>47</v>
      </c>
      <c r="E60" t="s">
        <v>75</v>
      </c>
      <c r="F60">
        <v>7</v>
      </c>
      <c r="G60">
        <v>800</v>
      </c>
      <c r="H60">
        <v>0</v>
      </c>
      <c r="I60">
        <v>5600</v>
      </c>
      <c r="J60">
        <v>0</v>
      </c>
      <c r="K60">
        <v>5600</v>
      </c>
      <c r="L60">
        <f t="shared" si="0"/>
        <v>1120</v>
      </c>
    </row>
    <row r="61" spans="1:12">
      <c r="A61">
        <v>1060</v>
      </c>
      <c r="B61" t="s">
        <v>109</v>
      </c>
      <c r="C61" t="s">
        <v>28</v>
      </c>
      <c r="D61" t="s">
        <v>32</v>
      </c>
      <c r="E61" t="s">
        <v>41</v>
      </c>
      <c r="F61">
        <v>10</v>
      </c>
      <c r="G61">
        <v>1200</v>
      </c>
      <c r="H61">
        <v>5</v>
      </c>
      <c r="I61">
        <v>12000</v>
      </c>
      <c r="J61">
        <v>600</v>
      </c>
      <c r="K61">
        <v>11400</v>
      </c>
      <c r="L61">
        <f t="shared" si="0"/>
        <v>2280</v>
      </c>
    </row>
    <row r="62" spans="1:12">
      <c r="A62">
        <v>1061</v>
      </c>
      <c r="B62" t="s">
        <v>110</v>
      </c>
      <c r="C62" t="s">
        <v>28</v>
      </c>
      <c r="D62" t="s">
        <v>6</v>
      </c>
      <c r="E62" t="s">
        <v>9</v>
      </c>
      <c r="F62">
        <v>9</v>
      </c>
      <c r="G62">
        <v>500</v>
      </c>
      <c r="H62">
        <v>15</v>
      </c>
      <c r="I62">
        <v>4500</v>
      </c>
      <c r="J62">
        <v>675</v>
      </c>
      <c r="K62">
        <v>3825</v>
      </c>
      <c r="L62">
        <f t="shared" si="0"/>
        <v>765</v>
      </c>
    </row>
    <row r="63" spans="1:12">
      <c r="A63">
        <v>1062</v>
      </c>
      <c r="B63" t="s">
        <v>111</v>
      </c>
      <c r="C63" t="s">
        <v>58</v>
      </c>
      <c r="D63" t="s">
        <v>47</v>
      </c>
      <c r="E63" t="s">
        <v>48</v>
      </c>
      <c r="F63">
        <v>5</v>
      </c>
      <c r="G63">
        <v>50000</v>
      </c>
      <c r="H63">
        <v>0</v>
      </c>
      <c r="I63">
        <v>250000</v>
      </c>
      <c r="J63">
        <v>0</v>
      </c>
      <c r="K63">
        <v>250000</v>
      </c>
      <c r="L63">
        <f t="shared" si="0"/>
        <v>50000</v>
      </c>
    </row>
    <row r="64" spans="1:12">
      <c r="A64">
        <v>1063</v>
      </c>
      <c r="B64" t="s">
        <v>112</v>
      </c>
      <c r="C64" t="s">
        <v>58</v>
      </c>
      <c r="D64" t="s">
        <v>6</v>
      </c>
      <c r="E64" t="s">
        <v>22</v>
      </c>
      <c r="F64">
        <v>1</v>
      </c>
      <c r="G64">
        <v>800</v>
      </c>
      <c r="H64">
        <v>15</v>
      </c>
      <c r="I64">
        <v>800</v>
      </c>
      <c r="J64">
        <v>120</v>
      </c>
      <c r="K64">
        <v>680</v>
      </c>
      <c r="L64">
        <f t="shared" si="0"/>
        <v>136</v>
      </c>
    </row>
    <row r="65" spans="1:12">
      <c r="A65">
        <v>1064</v>
      </c>
      <c r="B65" t="s">
        <v>113</v>
      </c>
      <c r="C65" t="s">
        <v>21</v>
      </c>
      <c r="D65" t="s">
        <v>6</v>
      </c>
      <c r="E65" t="s">
        <v>22</v>
      </c>
      <c r="F65">
        <v>4</v>
      </c>
      <c r="G65">
        <v>5000</v>
      </c>
      <c r="H65">
        <v>2</v>
      </c>
      <c r="I65">
        <v>20000</v>
      </c>
      <c r="J65">
        <v>400</v>
      </c>
      <c r="K65">
        <v>19600</v>
      </c>
      <c r="L65">
        <f t="shared" si="0"/>
        <v>3920</v>
      </c>
    </row>
    <row r="66" spans="1:12">
      <c r="A66">
        <v>1065</v>
      </c>
      <c r="B66" t="s">
        <v>114</v>
      </c>
      <c r="C66" t="s">
        <v>38</v>
      </c>
      <c r="D66" t="s">
        <v>6</v>
      </c>
      <c r="E66" t="s">
        <v>29</v>
      </c>
      <c r="F66">
        <v>5</v>
      </c>
      <c r="G66">
        <v>10000</v>
      </c>
      <c r="H66">
        <v>5</v>
      </c>
      <c r="I66">
        <v>50000</v>
      </c>
      <c r="J66">
        <v>2500</v>
      </c>
      <c r="K66">
        <v>47500</v>
      </c>
      <c r="L66">
        <f t="shared" ref="L66:L129" si="1">K66*20%</f>
        <v>9500</v>
      </c>
    </row>
    <row r="67" spans="1:12">
      <c r="A67">
        <v>1066</v>
      </c>
      <c r="B67" t="s">
        <v>115</v>
      </c>
      <c r="C67" t="s">
        <v>66</v>
      </c>
      <c r="D67" t="s">
        <v>6</v>
      </c>
      <c r="E67" t="s">
        <v>22</v>
      </c>
      <c r="F67">
        <v>10</v>
      </c>
      <c r="G67">
        <v>20000</v>
      </c>
      <c r="H67">
        <v>10</v>
      </c>
      <c r="I67">
        <v>200000</v>
      </c>
      <c r="J67">
        <v>20000</v>
      </c>
      <c r="K67">
        <v>180000</v>
      </c>
      <c r="L67">
        <f t="shared" si="1"/>
        <v>36000</v>
      </c>
    </row>
    <row r="68" spans="1:12">
      <c r="A68">
        <v>1067</v>
      </c>
      <c r="B68" t="s">
        <v>116</v>
      </c>
      <c r="C68" t="s">
        <v>46</v>
      </c>
      <c r="D68" t="s">
        <v>47</v>
      </c>
      <c r="E68" t="s">
        <v>75</v>
      </c>
      <c r="F68">
        <v>5</v>
      </c>
      <c r="G68">
        <v>1200</v>
      </c>
      <c r="H68">
        <v>15</v>
      </c>
      <c r="I68">
        <v>6000</v>
      </c>
      <c r="J68">
        <v>900</v>
      </c>
      <c r="K68">
        <v>5100</v>
      </c>
      <c r="L68">
        <f t="shared" si="1"/>
        <v>1020</v>
      </c>
    </row>
    <row r="69" spans="1:12">
      <c r="A69">
        <v>1068</v>
      </c>
      <c r="B69" t="s">
        <v>117</v>
      </c>
      <c r="C69" t="s">
        <v>28</v>
      </c>
      <c r="D69" t="s">
        <v>47</v>
      </c>
      <c r="E69" t="s">
        <v>71</v>
      </c>
      <c r="F69">
        <v>1</v>
      </c>
      <c r="G69">
        <v>5000</v>
      </c>
      <c r="H69">
        <v>2</v>
      </c>
      <c r="I69">
        <v>5000</v>
      </c>
      <c r="J69">
        <v>100</v>
      </c>
      <c r="K69">
        <v>4900</v>
      </c>
      <c r="L69">
        <f t="shared" si="1"/>
        <v>980</v>
      </c>
    </row>
    <row r="70" spans="1:12">
      <c r="A70">
        <v>1069</v>
      </c>
      <c r="B70" t="s">
        <v>118</v>
      </c>
      <c r="C70" t="s">
        <v>70</v>
      </c>
      <c r="D70" t="s">
        <v>6</v>
      </c>
      <c r="E70" t="s">
        <v>22</v>
      </c>
      <c r="F70">
        <v>4</v>
      </c>
      <c r="G70">
        <v>10000</v>
      </c>
      <c r="H70">
        <v>15</v>
      </c>
      <c r="I70">
        <v>40000</v>
      </c>
      <c r="J70">
        <v>6000</v>
      </c>
      <c r="K70">
        <v>34000</v>
      </c>
      <c r="L70">
        <f t="shared" si="1"/>
        <v>6800</v>
      </c>
    </row>
    <row r="71" spans="1:12">
      <c r="A71">
        <v>1070</v>
      </c>
      <c r="B71" t="s">
        <v>119</v>
      </c>
      <c r="C71" t="s">
        <v>58</v>
      </c>
      <c r="D71" t="s">
        <v>6</v>
      </c>
      <c r="E71" t="s">
        <v>22</v>
      </c>
      <c r="F71">
        <v>5</v>
      </c>
      <c r="G71">
        <v>10000</v>
      </c>
      <c r="H71">
        <v>5</v>
      </c>
      <c r="I71">
        <v>50000</v>
      </c>
      <c r="J71">
        <v>2500</v>
      </c>
      <c r="K71">
        <v>47500</v>
      </c>
      <c r="L71">
        <f t="shared" si="1"/>
        <v>9500</v>
      </c>
    </row>
    <row r="72" spans="1:12">
      <c r="A72">
        <v>1071</v>
      </c>
      <c r="B72" t="s">
        <v>120</v>
      </c>
      <c r="C72" t="s">
        <v>70</v>
      </c>
      <c r="D72" t="s">
        <v>6</v>
      </c>
      <c r="E72" t="s">
        <v>9</v>
      </c>
      <c r="F72">
        <v>6</v>
      </c>
      <c r="G72">
        <v>1200</v>
      </c>
      <c r="H72">
        <v>10</v>
      </c>
      <c r="I72">
        <v>7200</v>
      </c>
      <c r="J72">
        <v>720</v>
      </c>
      <c r="K72">
        <v>6480</v>
      </c>
      <c r="L72">
        <f t="shared" si="1"/>
        <v>1296</v>
      </c>
    </row>
    <row r="73" spans="1:12">
      <c r="A73">
        <v>1072</v>
      </c>
      <c r="B73" t="s">
        <v>121</v>
      </c>
      <c r="C73" t="s">
        <v>25</v>
      </c>
      <c r="D73" t="s">
        <v>47</v>
      </c>
      <c r="E73" t="s">
        <v>75</v>
      </c>
      <c r="F73">
        <v>2</v>
      </c>
      <c r="G73">
        <v>20000</v>
      </c>
      <c r="H73">
        <v>2</v>
      </c>
      <c r="I73">
        <v>40000</v>
      </c>
      <c r="J73">
        <v>800</v>
      </c>
      <c r="K73">
        <v>39200</v>
      </c>
      <c r="L73">
        <f t="shared" si="1"/>
        <v>7840</v>
      </c>
    </row>
    <row r="74" spans="1:12">
      <c r="A74">
        <v>1073</v>
      </c>
      <c r="B74" t="s">
        <v>122</v>
      </c>
      <c r="C74" t="s">
        <v>28</v>
      </c>
      <c r="D74" t="s">
        <v>47</v>
      </c>
      <c r="E74" t="s">
        <v>48</v>
      </c>
      <c r="F74">
        <v>10</v>
      </c>
      <c r="G74">
        <v>50000</v>
      </c>
      <c r="H74">
        <v>15</v>
      </c>
      <c r="I74">
        <v>500000</v>
      </c>
      <c r="J74">
        <v>75000</v>
      </c>
      <c r="K74">
        <v>425000</v>
      </c>
      <c r="L74">
        <f t="shared" si="1"/>
        <v>85000</v>
      </c>
    </row>
    <row r="75" spans="1:12">
      <c r="A75">
        <v>1074</v>
      </c>
      <c r="B75" t="s">
        <v>123</v>
      </c>
      <c r="C75" t="s">
        <v>56</v>
      </c>
      <c r="D75" t="s">
        <v>47</v>
      </c>
      <c r="E75" t="s">
        <v>75</v>
      </c>
      <c r="F75">
        <v>10</v>
      </c>
      <c r="G75">
        <v>500</v>
      </c>
      <c r="H75">
        <v>15</v>
      </c>
      <c r="I75">
        <v>5000</v>
      </c>
      <c r="J75">
        <v>750</v>
      </c>
      <c r="K75">
        <v>4250</v>
      </c>
      <c r="L75">
        <f t="shared" si="1"/>
        <v>850</v>
      </c>
    </row>
    <row r="76" spans="1:12">
      <c r="A76">
        <v>1075</v>
      </c>
      <c r="B76" t="s">
        <v>98</v>
      </c>
      <c r="C76" t="s">
        <v>21</v>
      </c>
      <c r="D76" t="s">
        <v>6</v>
      </c>
      <c r="E76" t="s">
        <v>9</v>
      </c>
      <c r="F76">
        <v>8</v>
      </c>
      <c r="G76">
        <v>2500</v>
      </c>
      <c r="H76">
        <v>15</v>
      </c>
      <c r="I76">
        <v>20000</v>
      </c>
      <c r="J76">
        <v>3000</v>
      </c>
      <c r="K76">
        <v>17000</v>
      </c>
      <c r="L76">
        <f t="shared" si="1"/>
        <v>3400</v>
      </c>
    </row>
    <row r="77" spans="1:12">
      <c r="A77">
        <v>1076</v>
      </c>
      <c r="B77" t="s">
        <v>124</v>
      </c>
      <c r="C77" t="s">
        <v>46</v>
      </c>
      <c r="D77" t="s">
        <v>32</v>
      </c>
      <c r="E77" t="s">
        <v>41</v>
      </c>
      <c r="F77">
        <v>5</v>
      </c>
      <c r="G77">
        <v>20000</v>
      </c>
      <c r="H77">
        <v>5</v>
      </c>
      <c r="I77">
        <v>100000</v>
      </c>
      <c r="J77">
        <v>5000</v>
      </c>
      <c r="K77">
        <v>95000</v>
      </c>
      <c r="L77">
        <f t="shared" si="1"/>
        <v>19000</v>
      </c>
    </row>
    <row r="78" spans="1:12">
      <c r="A78">
        <v>1077</v>
      </c>
      <c r="B78" t="s">
        <v>125</v>
      </c>
      <c r="C78" t="s">
        <v>56</v>
      </c>
      <c r="D78" t="s">
        <v>32</v>
      </c>
      <c r="E78" t="s">
        <v>33</v>
      </c>
      <c r="F78">
        <v>8</v>
      </c>
      <c r="G78">
        <v>800</v>
      </c>
      <c r="H78">
        <v>2</v>
      </c>
      <c r="I78">
        <v>6400</v>
      </c>
      <c r="J78">
        <v>128</v>
      </c>
      <c r="K78">
        <v>6272</v>
      </c>
      <c r="L78">
        <f t="shared" si="1"/>
        <v>1254.4000000000001</v>
      </c>
    </row>
    <row r="79" spans="1:12">
      <c r="A79">
        <v>1078</v>
      </c>
      <c r="B79" t="s">
        <v>116</v>
      </c>
      <c r="C79" t="s">
        <v>70</v>
      </c>
      <c r="D79" t="s">
        <v>32</v>
      </c>
      <c r="E79" t="s">
        <v>33</v>
      </c>
      <c r="F79">
        <v>9</v>
      </c>
      <c r="G79">
        <v>2500</v>
      </c>
      <c r="H79">
        <v>10</v>
      </c>
      <c r="I79">
        <v>22500</v>
      </c>
      <c r="J79">
        <v>2250</v>
      </c>
      <c r="K79">
        <v>20250</v>
      </c>
      <c r="L79">
        <f t="shared" si="1"/>
        <v>4050</v>
      </c>
    </row>
    <row r="80" spans="1:12">
      <c r="A80">
        <v>1079</v>
      </c>
      <c r="B80" t="s">
        <v>105</v>
      </c>
      <c r="C80" t="s">
        <v>56</v>
      </c>
      <c r="D80" t="s">
        <v>47</v>
      </c>
      <c r="E80" t="s">
        <v>48</v>
      </c>
      <c r="F80">
        <v>9</v>
      </c>
      <c r="G80">
        <v>10000</v>
      </c>
      <c r="H80">
        <v>5</v>
      </c>
      <c r="I80">
        <v>90000</v>
      </c>
      <c r="J80">
        <v>4500</v>
      </c>
      <c r="K80">
        <v>85500</v>
      </c>
      <c r="L80">
        <f t="shared" si="1"/>
        <v>17100</v>
      </c>
    </row>
    <row r="81" spans="1:12">
      <c r="A81">
        <v>1080</v>
      </c>
      <c r="B81" t="s">
        <v>126</v>
      </c>
      <c r="C81" t="s">
        <v>50</v>
      </c>
      <c r="D81" t="s">
        <v>32</v>
      </c>
      <c r="E81" t="s">
        <v>33</v>
      </c>
      <c r="F81">
        <v>6</v>
      </c>
      <c r="G81">
        <v>20000</v>
      </c>
      <c r="H81">
        <v>2</v>
      </c>
      <c r="I81">
        <v>120000</v>
      </c>
      <c r="J81">
        <v>2400</v>
      </c>
      <c r="K81">
        <v>117600</v>
      </c>
      <c r="L81">
        <f t="shared" si="1"/>
        <v>23520</v>
      </c>
    </row>
    <row r="82" spans="1:12">
      <c r="A82">
        <v>1081</v>
      </c>
      <c r="B82" t="s">
        <v>125</v>
      </c>
      <c r="C82" t="s">
        <v>25</v>
      </c>
      <c r="D82" t="s">
        <v>32</v>
      </c>
      <c r="E82" t="s">
        <v>51</v>
      </c>
      <c r="F82">
        <v>7</v>
      </c>
      <c r="G82">
        <v>5000</v>
      </c>
      <c r="H82">
        <v>10</v>
      </c>
      <c r="I82">
        <v>35000</v>
      </c>
      <c r="J82">
        <v>3500</v>
      </c>
      <c r="K82">
        <v>31500</v>
      </c>
      <c r="L82">
        <f t="shared" si="1"/>
        <v>6300</v>
      </c>
    </row>
    <row r="83" spans="1:12">
      <c r="A83">
        <v>1082</v>
      </c>
      <c r="B83" t="s">
        <v>127</v>
      </c>
      <c r="C83" t="s">
        <v>70</v>
      </c>
      <c r="D83" t="s">
        <v>47</v>
      </c>
      <c r="E83" t="s">
        <v>75</v>
      </c>
      <c r="F83">
        <v>10</v>
      </c>
      <c r="G83">
        <v>5000</v>
      </c>
      <c r="H83">
        <v>5</v>
      </c>
      <c r="I83">
        <v>50000</v>
      </c>
      <c r="J83">
        <v>2500</v>
      </c>
      <c r="K83">
        <v>47500</v>
      </c>
      <c r="L83">
        <f t="shared" si="1"/>
        <v>9500</v>
      </c>
    </row>
    <row r="84" spans="1:12">
      <c r="A84">
        <v>1083</v>
      </c>
      <c r="B84" t="s">
        <v>128</v>
      </c>
      <c r="C84" t="s">
        <v>56</v>
      </c>
      <c r="D84" t="s">
        <v>47</v>
      </c>
      <c r="E84" t="s">
        <v>48</v>
      </c>
      <c r="F84">
        <v>9</v>
      </c>
      <c r="G84">
        <v>500</v>
      </c>
      <c r="H84">
        <v>15</v>
      </c>
      <c r="I84">
        <v>4500</v>
      </c>
      <c r="J84">
        <v>675</v>
      </c>
      <c r="K84">
        <v>3825</v>
      </c>
      <c r="L84">
        <f t="shared" si="1"/>
        <v>765</v>
      </c>
    </row>
    <row r="85" spans="1:12">
      <c r="A85">
        <v>1084</v>
      </c>
      <c r="B85" t="s">
        <v>98</v>
      </c>
      <c r="C85" t="s">
        <v>25</v>
      </c>
      <c r="D85" t="s">
        <v>6</v>
      </c>
      <c r="E85" t="s">
        <v>29</v>
      </c>
      <c r="F85">
        <v>1</v>
      </c>
      <c r="G85">
        <v>800</v>
      </c>
      <c r="H85">
        <v>2</v>
      </c>
      <c r="I85">
        <v>800</v>
      </c>
      <c r="J85">
        <v>16</v>
      </c>
      <c r="K85">
        <v>784</v>
      </c>
      <c r="L85">
        <f t="shared" si="1"/>
        <v>156.80000000000001</v>
      </c>
    </row>
    <row r="86" spans="1:12">
      <c r="A86">
        <v>1085</v>
      </c>
      <c r="B86" t="s">
        <v>129</v>
      </c>
      <c r="C86" t="s">
        <v>70</v>
      </c>
      <c r="D86" t="s">
        <v>32</v>
      </c>
      <c r="E86" t="s">
        <v>41</v>
      </c>
      <c r="F86">
        <v>7</v>
      </c>
      <c r="G86">
        <v>5000</v>
      </c>
      <c r="H86">
        <v>10</v>
      </c>
      <c r="I86">
        <v>35000</v>
      </c>
      <c r="J86">
        <v>3500</v>
      </c>
      <c r="K86">
        <v>31500</v>
      </c>
      <c r="L86">
        <f t="shared" si="1"/>
        <v>6300</v>
      </c>
    </row>
    <row r="87" spans="1:12">
      <c r="A87">
        <v>1086</v>
      </c>
      <c r="B87" t="s">
        <v>130</v>
      </c>
      <c r="C87" t="s">
        <v>70</v>
      </c>
      <c r="D87" t="s">
        <v>6</v>
      </c>
      <c r="E87" t="s">
        <v>22</v>
      </c>
      <c r="F87">
        <v>4</v>
      </c>
      <c r="G87">
        <v>2500</v>
      </c>
      <c r="H87">
        <v>0</v>
      </c>
      <c r="I87">
        <v>10000</v>
      </c>
      <c r="J87">
        <v>0</v>
      </c>
      <c r="K87">
        <v>10000</v>
      </c>
      <c r="L87">
        <f t="shared" si="1"/>
        <v>2000</v>
      </c>
    </row>
    <row r="88" spans="1:12">
      <c r="A88">
        <v>1087</v>
      </c>
      <c r="B88" t="s">
        <v>131</v>
      </c>
      <c r="C88" t="s">
        <v>25</v>
      </c>
      <c r="D88" t="s">
        <v>47</v>
      </c>
      <c r="E88" t="s">
        <v>75</v>
      </c>
      <c r="F88">
        <v>10</v>
      </c>
      <c r="G88">
        <v>800</v>
      </c>
      <c r="H88">
        <v>2</v>
      </c>
      <c r="I88">
        <v>8000</v>
      </c>
      <c r="J88">
        <v>160</v>
      </c>
      <c r="K88">
        <v>7840</v>
      </c>
      <c r="L88">
        <f t="shared" si="1"/>
        <v>1568</v>
      </c>
    </row>
    <row r="89" spans="1:12">
      <c r="A89">
        <v>1088</v>
      </c>
      <c r="B89" t="s">
        <v>132</v>
      </c>
      <c r="C89" t="s">
        <v>70</v>
      </c>
      <c r="D89" t="s">
        <v>47</v>
      </c>
      <c r="E89" t="s">
        <v>75</v>
      </c>
      <c r="F89">
        <v>3</v>
      </c>
      <c r="G89">
        <v>10000</v>
      </c>
      <c r="H89">
        <v>2</v>
      </c>
      <c r="I89">
        <v>30000</v>
      </c>
      <c r="J89">
        <v>600</v>
      </c>
      <c r="K89">
        <v>29400</v>
      </c>
      <c r="L89">
        <f t="shared" si="1"/>
        <v>5880</v>
      </c>
    </row>
    <row r="90" spans="1:12">
      <c r="A90">
        <v>1089</v>
      </c>
      <c r="B90" t="s">
        <v>133</v>
      </c>
      <c r="C90" t="s">
        <v>21</v>
      </c>
      <c r="D90" t="s">
        <v>47</v>
      </c>
      <c r="E90" t="s">
        <v>75</v>
      </c>
      <c r="F90">
        <v>6</v>
      </c>
      <c r="G90">
        <v>5000</v>
      </c>
      <c r="H90">
        <v>5</v>
      </c>
      <c r="I90">
        <v>30000</v>
      </c>
      <c r="J90">
        <v>1500</v>
      </c>
      <c r="K90">
        <v>28500</v>
      </c>
      <c r="L90">
        <f t="shared" si="1"/>
        <v>5700</v>
      </c>
    </row>
    <row r="91" spans="1:12">
      <c r="A91">
        <v>1090</v>
      </c>
      <c r="B91" t="s">
        <v>134</v>
      </c>
      <c r="C91" t="s">
        <v>28</v>
      </c>
      <c r="D91" t="s">
        <v>6</v>
      </c>
      <c r="E91" t="s">
        <v>9</v>
      </c>
      <c r="F91">
        <v>9</v>
      </c>
      <c r="G91">
        <v>5000</v>
      </c>
      <c r="H91">
        <v>5</v>
      </c>
      <c r="I91">
        <v>45000</v>
      </c>
      <c r="J91">
        <v>2250</v>
      </c>
      <c r="K91">
        <v>42750</v>
      </c>
      <c r="L91">
        <f t="shared" si="1"/>
        <v>8550</v>
      </c>
    </row>
    <row r="92" spans="1:12">
      <c r="A92">
        <v>1091</v>
      </c>
      <c r="B92" t="s">
        <v>135</v>
      </c>
      <c r="C92" t="s">
        <v>66</v>
      </c>
      <c r="D92" t="s">
        <v>6</v>
      </c>
      <c r="E92" t="s">
        <v>22</v>
      </c>
      <c r="F92">
        <v>7</v>
      </c>
      <c r="G92">
        <v>10000</v>
      </c>
      <c r="H92">
        <v>10</v>
      </c>
      <c r="I92">
        <v>70000</v>
      </c>
      <c r="J92">
        <v>7000</v>
      </c>
      <c r="K92">
        <v>63000</v>
      </c>
      <c r="L92">
        <f t="shared" si="1"/>
        <v>12600</v>
      </c>
    </row>
    <row r="93" spans="1:12">
      <c r="A93">
        <v>1092</v>
      </c>
      <c r="B93" t="s">
        <v>136</v>
      </c>
      <c r="C93" t="s">
        <v>21</v>
      </c>
      <c r="D93" t="s">
        <v>6</v>
      </c>
      <c r="E93" t="s">
        <v>9</v>
      </c>
      <c r="F93">
        <v>5</v>
      </c>
      <c r="G93">
        <v>20000</v>
      </c>
      <c r="H93">
        <v>2</v>
      </c>
      <c r="I93">
        <v>100000</v>
      </c>
      <c r="J93">
        <v>2000</v>
      </c>
      <c r="K93">
        <v>98000</v>
      </c>
      <c r="L93">
        <f t="shared" si="1"/>
        <v>19600</v>
      </c>
    </row>
    <row r="94" spans="1:12">
      <c r="A94">
        <v>1093</v>
      </c>
      <c r="B94" t="s">
        <v>137</v>
      </c>
      <c r="C94" t="s">
        <v>21</v>
      </c>
      <c r="D94" t="s">
        <v>32</v>
      </c>
      <c r="E94" t="s">
        <v>33</v>
      </c>
      <c r="F94">
        <v>1</v>
      </c>
      <c r="G94">
        <v>2500</v>
      </c>
      <c r="H94">
        <v>2</v>
      </c>
      <c r="I94">
        <v>2500</v>
      </c>
      <c r="J94">
        <v>50</v>
      </c>
      <c r="K94">
        <v>2450</v>
      </c>
      <c r="L94">
        <f t="shared" si="1"/>
        <v>490</v>
      </c>
    </row>
    <row r="95" spans="1:12">
      <c r="A95">
        <v>1094</v>
      </c>
      <c r="B95" t="s">
        <v>91</v>
      </c>
      <c r="C95" t="s">
        <v>58</v>
      </c>
      <c r="D95" t="s">
        <v>32</v>
      </c>
      <c r="E95" t="s">
        <v>41</v>
      </c>
      <c r="F95">
        <v>4</v>
      </c>
      <c r="G95">
        <v>50000</v>
      </c>
      <c r="H95">
        <v>2</v>
      </c>
      <c r="I95">
        <v>200000</v>
      </c>
      <c r="J95">
        <v>4000</v>
      </c>
      <c r="K95">
        <v>196000</v>
      </c>
      <c r="L95">
        <f t="shared" si="1"/>
        <v>39200</v>
      </c>
    </row>
    <row r="96" spans="1:12">
      <c r="A96">
        <v>1095</v>
      </c>
      <c r="B96" t="s">
        <v>92</v>
      </c>
      <c r="C96" t="s">
        <v>56</v>
      </c>
      <c r="D96" t="s">
        <v>32</v>
      </c>
      <c r="E96" t="s">
        <v>33</v>
      </c>
      <c r="F96">
        <v>10</v>
      </c>
      <c r="G96">
        <v>2500</v>
      </c>
      <c r="H96">
        <v>15</v>
      </c>
      <c r="I96">
        <v>25000</v>
      </c>
      <c r="J96">
        <v>3750</v>
      </c>
      <c r="K96">
        <v>21250</v>
      </c>
      <c r="L96">
        <f t="shared" si="1"/>
        <v>4250</v>
      </c>
    </row>
    <row r="97" spans="1:12">
      <c r="A97">
        <v>1096</v>
      </c>
      <c r="B97" t="s">
        <v>138</v>
      </c>
      <c r="C97" t="s">
        <v>56</v>
      </c>
      <c r="D97" t="s">
        <v>47</v>
      </c>
      <c r="E97" t="s">
        <v>48</v>
      </c>
      <c r="F97">
        <v>6</v>
      </c>
      <c r="G97">
        <v>800</v>
      </c>
      <c r="H97">
        <v>15</v>
      </c>
      <c r="I97">
        <v>4800</v>
      </c>
      <c r="J97">
        <v>720</v>
      </c>
      <c r="K97">
        <v>4080</v>
      </c>
      <c r="L97">
        <f t="shared" si="1"/>
        <v>816</v>
      </c>
    </row>
    <row r="98" spans="1:12">
      <c r="A98">
        <v>1097</v>
      </c>
      <c r="B98" t="s">
        <v>139</v>
      </c>
      <c r="C98" t="s">
        <v>66</v>
      </c>
      <c r="D98" t="s">
        <v>47</v>
      </c>
      <c r="E98" t="s">
        <v>48</v>
      </c>
      <c r="F98">
        <v>7</v>
      </c>
      <c r="G98">
        <v>50000</v>
      </c>
      <c r="H98">
        <v>0</v>
      </c>
      <c r="I98">
        <v>350000</v>
      </c>
      <c r="J98">
        <v>0</v>
      </c>
      <c r="K98">
        <v>350000</v>
      </c>
      <c r="L98">
        <f t="shared" si="1"/>
        <v>70000</v>
      </c>
    </row>
    <row r="99" spans="1:12">
      <c r="A99">
        <v>1098</v>
      </c>
      <c r="B99" t="s">
        <v>65</v>
      </c>
      <c r="C99" t="s">
        <v>21</v>
      </c>
      <c r="D99" t="s">
        <v>47</v>
      </c>
      <c r="E99" t="s">
        <v>75</v>
      </c>
      <c r="F99">
        <v>4</v>
      </c>
      <c r="G99">
        <v>20000</v>
      </c>
      <c r="H99">
        <v>0</v>
      </c>
      <c r="I99">
        <v>80000</v>
      </c>
      <c r="J99">
        <v>0</v>
      </c>
      <c r="K99">
        <v>80000</v>
      </c>
      <c r="L99">
        <f t="shared" si="1"/>
        <v>16000</v>
      </c>
    </row>
    <row r="100" spans="1:12">
      <c r="A100">
        <v>1099</v>
      </c>
      <c r="B100" t="s">
        <v>140</v>
      </c>
      <c r="C100" t="s">
        <v>58</v>
      </c>
      <c r="D100" t="s">
        <v>47</v>
      </c>
      <c r="E100" t="s">
        <v>71</v>
      </c>
      <c r="F100">
        <v>4</v>
      </c>
      <c r="G100">
        <v>2500</v>
      </c>
      <c r="H100">
        <v>15</v>
      </c>
      <c r="I100">
        <v>10000</v>
      </c>
      <c r="J100">
        <v>1500</v>
      </c>
      <c r="K100">
        <v>8500</v>
      </c>
      <c r="L100">
        <f t="shared" si="1"/>
        <v>1700</v>
      </c>
    </row>
    <row r="101" spans="1:12">
      <c r="A101">
        <v>1100</v>
      </c>
      <c r="B101" t="s">
        <v>92</v>
      </c>
      <c r="C101" t="s">
        <v>56</v>
      </c>
      <c r="D101" t="s">
        <v>32</v>
      </c>
      <c r="E101" t="s">
        <v>33</v>
      </c>
      <c r="F101">
        <v>5</v>
      </c>
      <c r="G101">
        <v>1200</v>
      </c>
      <c r="H101">
        <v>10</v>
      </c>
      <c r="I101">
        <v>6000</v>
      </c>
      <c r="J101">
        <v>600</v>
      </c>
      <c r="K101">
        <v>5400</v>
      </c>
      <c r="L101">
        <f t="shared" si="1"/>
        <v>1080</v>
      </c>
    </row>
    <row r="102" spans="1:12">
      <c r="A102">
        <v>1101</v>
      </c>
      <c r="B102" t="s">
        <v>141</v>
      </c>
      <c r="C102" t="s">
        <v>25</v>
      </c>
      <c r="D102" t="s">
        <v>47</v>
      </c>
      <c r="E102" t="s">
        <v>75</v>
      </c>
      <c r="F102">
        <v>10</v>
      </c>
      <c r="G102">
        <v>800</v>
      </c>
      <c r="H102">
        <v>0</v>
      </c>
      <c r="I102">
        <v>8000</v>
      </c>
      <c r="J102">
        <v>0</v>
      </c>
      <c r="K102">
        <v>8000</v>
      </c>
      <c r="L102">
        <f t="shared" si="1"/>
        <v>1600</v>
      </c>
    </row>
    <row r="103" spans="1:12">
      <c r="A103">
        <v>1102</v>
      </c>
      <c r="B103" t="s">
        <v>142</v>
      </c>
      <c r="C103" t="s">
        <v>70</v>
      </c>
      <c r="D103" t="s">
        <v>6</v>
      </c>
      <c r="E103" t="s">
        <v>9</v>
      </c>
      <c r="F103">
        <v>5</v>
      </c>
      <c r="G103">
        <v>800</v>
      </c>
      <c r="H103">
        <v>2</v>
      </c>
      <c r="I103">
        <v>4000</v>
      </c>
      <c r="J103">
        <v>80</v>
      </c>
      <c r="K103">
        <v>3920</v>
      </c>
      <c r="L103">
        <f t="shared" si="1"/>
        <v>784</v>
      </c>
    </row>
    <row r="104" spans="1:12">
      <c r="A104">
        <v>1103</v>
      </c>
      <c r="B104" t="s">
        <v>143</v>
      </c>
      <c r="C104" t="s">
        <v>25</v>
      </c>
      <c r="D104" t="s">
        <v>32</v>
      </c>
      <c r="E104" t="s">
        <v>51</v>
      </c>
      <c r="F104">
        <v>1</v>
      </c>
      <c r="G104">
        <v>2500</v>
      </c>
      <c r="H104">
        <v>5</v>
      </c>
      <c r="I104">
        <v>2500</v>
      </c>
      <c r="J104">
        <v>125</v>
      </c>
      <c r="K104">
        <v>2375</v>
      </c>
      <c r="L104">
        <f t="shared" si="1"/>
        <v>475</v>
      </c>
    </row>
    <row r="105" spans="1:12">
      <c r="A105">
        <v>1104</v>
      </c>
      <c r="B105" t="s">
        <v>144</v>
      </c>
      <c r="C105" t="s">
        <v>70</v>
      </c>
      <c r="D105" t="s">
        <v>6</v>
      </c>
      <c r="E105" t="s">
        <v>9</v>
      </c>
      <c r="F105">
        <v>1</v>
      </c>
      <c r="G105">
        <v>50000</v>
      </c>
      <c r="H105">
        <v>15</v>
      </c>
      <c r="I105">
        <v>50000</v>
      </c>
      <c r="J105">
        <v>7500</v>
      </c>
      <c r="K105">
        <v>42500</v>
      </c>
      <c r="L105">
        <f t="shared" si="1"/>
        <v>8500</v>
      </c>
    </row>
    <row r="106" spans="1:12">
      <c r="A106">
        <v>1105</v>
      </c>
      <c r="B106" t="s">
        <v>145</v>
      </c>
      <c r="C106" t="s">
        <v>28</v>
      </c>
      <c r="D106" t="s">
        <v>32</v>
      </c>
      <c r="E106" t="s">
        <v>41</v>
      </c>
      <c r="F106">
        <v>7</v>
      </c>
      <c r="G106">
        <v>2500</v>
      </c>
      <c r="H106">
        <v>15</v>
      </c>
      <c r="I106">
        <v>17500</v>
      </c>
      <c r="J106">
        <v>2625</v>
      </c>
      <c r="K106">
        <v>14875</v>
      </c>
      <c r="L106">
        <f t="shared" si="1"/>
        <v>2975</v>
      </c>
    </row>
    <row r="107" spans="1:12">
      <c r="A107">
        <v>1106</v>
      </c>
      <c r="B107" t="s">
        <v>146</v>
      </c>
      <c r="C107" t="s">
        <v>38</v>
      </c>
      <c r="D107" t="s">
        <v>32</v>
      </c>
      <c r="E107" t="s">
        <v>33</v>
      </c>
      <c r="F107">
        <v>3</v>
      </c>
      <c r="G107">
        <v>2500</v>
      </c>
      <c r="H107">
        <v>10</v>
      </c>
      <c r="I107">
        <v>7500</v>
      </c>
      <c r="J107">
        <v>750</v>
      </c>
      <c r="K107">
        <v>6750</v>
      </c>
      <c r="L107">
        <f t="shared" si="1"/>
        <v>1350</v>
      </c>
    </row>
    <row r="108" spans="1:12">
      <c r="A108">
        <v>1107</v>
      </c>
      <c r="B108" t="s">
        <v>147</v>
      </c>
      <c r="C108" t="s">
        <v>70</v>
      </c>
      <c r="D108" t="s">
        <v>6</v>
      </c>
      <c r="E108" t="s">
        <v>9</v>
      </c>
      <c r="F108">
        <v>9</v>
      </c>
      <c r="G108">
        <v>5000</v>
      </c>
      <c r="H108">
        <v>5</v>
      </c>
      <c r="I108">
        <v>45000</v>
      </c>
      <c r="J108">
        <v>2250</v>
      </c>
      <c r="K108">
        <v>42750</v>
      </c>
      <c r="L108">
        <f t="shared" si="1"/>
        <v>8550</v>
      </c>
    </row>
    <row r="109" spans="1:12">
      <c r="A109">
        <v>1108</v>
      </c>
      <c r="B109" t="s">
        <v>148</v>
      </c>
      <c r="C109" t="s">
        <v>21</v>
      </c>
      <c r="D109" t="s">
        <v>32</v>
      </c>
      <c r="E109" t="s">
        <v>41</v>
      </c>
      <c r="F109">
        <v>7</v>
      </c>
      <c r="G109">
        <v>2500</v>
      </c>
      <c r="H109">
        <v>0</v>
      </c>
      <c r="I109">
        <v>17500</v>
      </c>
      <c r="J109">
        <v>0</v>
      </c>
      <c r="K109">
        <v>17500</v>
      </c>
      <c r="L109">
        <f t="shared" si="1"/>
        <v>3500</v>
      </c>
    </row>
    <row r="110" spans="1:12">
      <c r="A110">
        <v>1109</v>
      </c>
      <c r="B110" t="s">
        <v>149</v>
      </c>
      <c r="C110" t="s">
        <v>46</v>
      </c>
      <c r="D110" t="s">
        <v>47</v>
      </c>
      <c r="E110" t="s">
        <v>71</v>
      </c>
      <c r="F110">
        <v>9</v>
      </c>
      <c r="G110">
        <v>50000</v>
      </c>
      <c r="H110">
        <v>0</v>
      </c>
      <c r="I110">
        <v>450000</v>
      </c>
      <c r="J110">
        <v>0</v>
      </c>
      <c r="K110">
        <v>450000</v>
      </c>
      <c r="L110">
        <f t="shared" si="1"/>
        <v>90000</v>
      </c>
    </row>
    <row r="111" spans="1:12">
      <c r="A111">
        <v>1110</v>
      </c>
      <c r="B111" t="s">
        <v>150</v>
      </c>
      <c r="C111" t="s">
        <v>70</v>
      </c>
      <c r="D111" t="s">
        <v>32</v>
      </c>
      <c r="E111" t="s">
        <v>41</v>
      </c>
      <c r="F111">
        <v>1</v>
      </c>
      <c r="G111">
        <v>20000</v>
      </c>
      <c r="H111">
        <v>5</v>
      </c>
      <c r="I111">
        <v>20000</v>
      </c>
      <c r="J111">
        <v>1000</v>
      </c>
      <c r="K111">
        <v>19000</v>
      </c>
      <c r="L111">
        <f t="shared" si="1"/>
        <v>3800</v>
      </c>
    </row>
    <row r="112" spans="1:12">
      <c r="A112">
        <v>1111</v>
      </c>
      <c r="B112" t="s">
        <v>125</v>
      </c>
      <c r="C112" t="s">
        <v>66</v>
      </c>
      <c r="D112" t="s">
        <v>6</v>
      </c>
      <c r="E112" t="s">
        <v>29</v>
      </c>
      <c r="F112">
        <v>1</v>
      </c>
      <c r="G112">
        <v>10000</v>
      </c>
      <c r="H112">
        <v>0</v>
      </c>
      <c r="I112">
        <v>10000</v>
      </c>
      <c r="J112">
        <v>0</v>
      </c>
      <c r="K112">
        <v>10000</v>
      </c>
      <c r="L112">
        <f t="shared" si="1"/>
        <v>2000</v>
      </c>
    </row>
    <row r="113" spans="1:12">
      <c r="A113">
        <v>1112</v>
      </c>
      <c r="B113" t="s">
        <v>101</v>
      </c>
      <c r="C113" t="s">
        <v>38</v>
      </c>
      <c r="D113" t="s">
        <v>32</v>
      </c>
      <c r="E113" t="s">
        <v>41</v>
      </c>
      <c r="F113">
        <v>7</v>
      </c>
      <c r="G113">
        <v>5000</v>
      </c>
      <c r="H113">
        <v>0</v>
      </c>
      <c r="I113">
        <v>35000</v>
      </c>
      <c r="J113">
        <v>0</v>
      </c>
      <c r="K113">
        <v>35000</v>
      </c>
      <c r="L113">
        <f t="shared" si="1"/>
        <v>7000</v>
      </c>
    </row>
    <row r="114" spans="1:12">
      <c r="A114">
        <v>1113</v>
      </c>
      <c r="B114" t="s">
        <v>151</v>
      </c>
      <c r="C114" t="s">
        <v>70</v>
      </c>
      <c r="D114" t="s">
        <v>47</v>
      </c>
      <c r="E114" t="s">
        <v>75</v>
      </c>
      <c r="F114">
        <v>10</v>
      </c>
      <c r="G114">
        <v>5000</v>
      </c>
      <c r="H114">
        <v>15</v>
      </c>
      <c r="I114">
        <v>50000</v>
      </c>
      <c r="J114">
        <v>7500</v>
      </c>
      <c r="K114">
        <v>42500</v>
      </c>
      <c r="L114">
        <f t="shared" si="1"/>
        <v>8500</v>
      </c>
    </row>
    <row r="115" spans="1:12">
      <c r="A115">
        <v>1114</v>
      </c>
      <c r="B115" t="s">
        <v>152</v>
      </c>
      <c r="C115" t="s">
        <v>25</v>
      </c>
      <c r="D115" t="s">
        <v>32</v>
      </c>
      <c r="E115" t="s">
        <v>33</v>
      </c>
      <c r="F115">
        <v>8</v>
      </c>
      <c r="G115">
        <v>2500</v>
      </c>
      <c r="H115">
        <v>10</v>
      </c>
      <c r="I115">
        <v>20000</v>
      </c>
      <c r="J115">
        <v>2000</v>
      </c>
      <c r="K115">
        <v>18000</v>
      </c>
      <c r="L115">
        <f t="shared" si="1"/>
        <v>3600</v>
      </c>
    </row>
    <row r="116" spans="1:12">
      <c r="A116">
        <v>1115</v>
      </c>
      <c r="B116" t="s">
        <v>153</v>
      </c>
      <c r="C116" t="s">
        <v>56</v>
      </c>
      <c r="D116" t="s">
        <v>6</v>
      </c>
      <c r="E116" t="s">
        <v>29</v>
      </c>
      <c r="F116">
        <v>5</v>
      </c>
      <c r="G116">
        <v>10000</v>
      </c>
      <c r="H116">
        <v>10</v>
      </c>
      <c r="I116">
        <v>50000</v>
      </c>
      <c r="J116">
        <v>5000</v>
      </c>
      <c r="K116">
        <v>45000</v>
      </c>
      <c r="L116">
        <f t="shared" si="1"/>
        <v>9000</v>
      </c>
    </row>
    <row r="117" spans="1:12">
      <c r="A117">
        <v>1116</v>
      </c>
      <c r="B117" t="s">
        <v>116</v>
      </c>
      <c r="C117" t="s">
        <v>38</v>
      </c>
      <c r="D117" t="s">
        <v>6</v>
      </c>
      <c r="E117" t="s">
        <v>9</v>
      </c>
      <c r="F117">
        <v>8</v>
      </c>
      <c r="G117">
        <v>10000</v>
      </c>
      <c r="H117">
        <v>5</v>
      </c>
      <c r="I117">
        <v>80000</v>
      </c>
      <c r="J117">
        <v>4000</v>
      </c>
      <c r="K117">
        <v>76000</v>
      </c>
      <c r="L117">
        <f t="shared" si="1"/>
        <v>15200</v>
      </c>
    </row>
    <row r="118" spans="1:12">
      <c r="A118">
        <v>1117</v>
      </c>
      <c r="B118" t="s">
        <v>154</v>
      </c>
      <c r="C118" t="s">
        <v>25</v>
      </c>
      <c r="D118" t="s">
        <v>47</v>
      </c>
      <c r="E118" t="s">
        <v>75</v>
      </c>
      <c r="F118">
        <v>5</v>
      </c>
      <c r="G118">
        <v>20000</v>
      </c>
      <c r="H118">
        <v>2</v>
      </c>
      <c r="I118">
        <v>100000</v>
      </c>
      <c r="J118">
        <v>2000</v>
      </c>
      <c r="K118">
        <v>98000</v>
      </c>
      <c r="L118">
        <f t="shared" si="1"/>
        <v>19600</v>
      </c>
    </row>
    <row r="119" spans="1:12">
      <c r="A119">
        <v>1118</v>
      </c>
      <c r="B119" t="s">
        <v>155</v>
      </c>
      <c r="C119" t="s">
        <v>58</v>
      </c>
      <c r="D119" t="s">
        <v>6</v>
      </c>
      <c r="E119" t="s">
        <v>9</v>
      </c>
      <c r="F119">
        <v>6</v>
      </c>
      <c r="G119">
        <v>500</v>
      </c>
      <c r="H119">
        <v>2</v>
      </c>
      <c r="I119">
        <v>3000</v>
      </c>
      <c r="J119">
        <v>60</v>
      </c>
      <c r="K119">
        <v>2940</v>
      </c>
      <c r="L119">
        <f t="shared" si="1"/>
        <v>588</v>
      </c>
    </row>
    <row r="120" spans="1:12">
      <c r="A120">
        <v>1119</v>
      </c>
      <c r="B120" t="s">
        <v>156</v>
      </c>
      <c r="C120" t="s">
        <v>21</v>
      </c>
      <c r="D120" t="s">
        <v>32</v>
      </c>
      <c r="E120" t="s">
        <v>51</v>
      </c>
      <c r="F120">
        <v>5</v>
      </c>
      <c r="G120">
        <v>1200</v>
      </c>
      <c r="H120">
        <v>2</v>
      </c>
      <c r="I120">
        <v>6000</v>
      </c>
      <c r="J120">
        <v>120</v>
      </c>
      <c r="K120">
        <v>5880</v>
      </c>
      <c r="L120">
        <f t="shared" si="1"/>
        <v>1176</v>
      </c>
    </row>
    <row r="121" spans="1:12">
      <c r="A121">
        <v>1120</v>
      </c>
      <c r="B121" t="s">
        <v>157</v>
      </c>
      <c r="C121" t="s">
        <v>66</v>
      </c>
      <c r="D121" t="s">
        <v>47</v>
      </c>
      <c r="E121" t="s">
        <v>48</v>
      </c>
      <c r="F121">
        <v>8</v>
      </c>
      <c r="G121">
        <v>50000</v>
      </c>
      <c r="H121">
        <v>15</v>
      </c>
      <c r="I121">
        <v>400000</v>
      </c>
      <c r="J121">
        <v>60000</v>
      </c>
      <c r="K121">
        <v>340000</v>
      </c>
      <c r="L121">
        <f t="shared" si="1"/>
        <v>68000</v>
      </c>
    </row>
    <row r="122" spans="1:12">
      <c r="A122">
        <v>1121</v>
      </c>
      <c r="B122" t="s">
        <v>92</v>
      </c>
      <c r="C122" t="s">
        <v>46</v>
      </c>
      <c r="D122" t="s">
        <v>32</v>
      </c>
      <c r="E122" t="s">
        <v>33</v>
      </c>
      <c r="F122">
        <v>4</v>
      </c>
      <c r="G122">
        <v>5000</v>
      </c>
      <c r="H122">
        <v>10</v>
      </c>
      <c r="I122">
        <v>20000</v>
      </c>
      <c r="J122">
        <v>2000</v>
      </c>
      <c r="K122">
        <v>18000</v>
      </c>
      <c r="L122">
        <f t="shared" si="1"/>
        <v>3600</v>
      </c>
    </row>
    <row r="123" spans="1:12">
      <c r="A123">
        <v>1122</v>
      </c>
      <c r="B123" t="s">
        <v>132</v>
      </c>
      <c r="C123" t="s">
        <v>28</v>
      </c>
      <c r="D123" t="s">
        <v>6</v>
      </c>
      <c r="E123" t="s">
        <v>29</v>
      </c>
      <c r="F123">
        <v>1</v>
      </c>
      <c r="G123">
        <v>1200</v>
      </c>
      <c r="H123">
        <v>5</v>
      </c>
      <c r="I123">
        <v>1200</v>
      </c>
      <c r="J123">
        <v>60</v>
      </c>
      <c r="K123">
        <v>1140</v>
      </c>
      <c r="L123">
        <f t="shared" si="1"/>
        <v>228</v>
      </c>
    </row>
    <row r="124" spans="1:12">
      <c r="A124">
        <v>1123</v>
      </c>
      <c r="B124" t="s">
        <v>158</v>
      </c>
      <c r="C124" t="s">
        <v>46</v>
      </c>
      <c r="D124" t="s">
        <v>32</v>
      </c>
      <c r="E124" t="s">
        <v>51</v>
      </c>
      <c r="F124">
        <v>1</v>
      </c>
      <c r="G124">
        <v>2500</v>
      </c>
      <c r="H124">
        <v>0</v>
      </c>
      <c r="I124">
        <v>2500</v>
      </c>
      <c r="J124">
        <v>0</v>
      </c>
      <c r="K124">
        <v>2500</v>
      </c>
      <c r="L124">
        <f t="shared" si="1"/>
        <v>500</v>
      </c>
    </row>
    <row r="125" spans="1:12">
      <c r="A125">
        <v>1124</v>
      </c>
      <c r="B125" t="s">
        <v>159</v>
      </c>
      <c r="C125" t="s">
        <v>58</v>
      </c>
      <c r="D125" t="s">
        <v>6</v>
      </c>
      <c r="E125" t="s">
        <v>22</v>
      </c>
      <c r="F125">
        <v>2</v>
      </c>
      <c r="G125">
        <v>2500</v>
      </c>
      <c r="H125">
        <v>15</v>
      </c>
      <c r="I125">
        <v>5000</v>
      </c>
      <c r="J125">
        <v>750</v>
      </c>
      <c r="K125">
        <v>4250</v>
      </c>
      <c r="L125">
        <f t="shared" si="1"/>
        <v>850</v>
      </c>
    </row>
    <row r="126" spans="1:12">
      <c r="A126">
        <v>1125</v>
      </c>
      <c r="B126" t="s">
        <v>61</v>
      </c>
      <c r="C126" t="s">
        <v>28</v>
      </c>
      <c r="D126" t="s">
        <v>47</v>
      </c>
      <c r="E126" t="s">
        <v>75</v>
      </c>
      <c r="F126">
        <v>8</v>
      </c>
      <c r="G126">
        <v>2500</v>
      </c>
      <c r="H126">
        <v>0</v>
      </c>
      <c r="I126">
        <v>20000</v>
      </c>
      <c r="J126">
        <v>0</v>
      </c>
      <c r="K126">
        <v>20000</v>
      </c>
      <c r="L126">
        <f t="shared" si="1"/>
        <v>4000</v>
      </c>
    </row>
    <row r="127" spans="1:12">
      <c r="A127">
        <v>1126</v>
      </c>
      <c r="B127" t="s">
        <v>160</v>
      </c>
      <c r="C127" t="s">
        <v>46</v>
      </c>
      <c r="D127" t="s">
        <v>32</v>
      </c>
      <c r="E127" t="s">
        <v>41</v>
      </c>
      <c r="F127">
        <v>2</v>
      </c>
      <c r="G127">
        <v>20000</v>
      </c>
      <c r="H127">
        <v>0</v>
      </c>
      <c r="I127">
        <v>40000</v>
      </c>
      <c r="J127">
        <v>0</v>
      </c>
      <c r="K127">
        <v>40000</v>
      </c>
      <c r="L127">
        <f t="shared" si="1"/>
        <v>8000</v>
      </c>
    </row>
    <row r="128" spans="1:12">
      <c r="A128">
        <v>1127</v>
      </c>
      <c r="B128" t="s">
        <v>161</v>
      </c>
      <c r="C128" t="s">
        <v>66</v>
      </c>
      <c r="D128" t="s">
        <v>32</v>
      </c>
      <c r="E128" t="s">
        <v>33</v>
      </c>
      <c r="F128">
        <v>2</v>
      </c>
      <c r="G128">
        <v>10000</v>
      </c>
      <c r="H128">
        <v>0</v>
      </c>
      <c r="I128">
        <v>20000</v>
      </c>
      <c r="J128">
        <v>0</v>
      </c>
      <c r="K128">
        <v>20000</v>
      </c>
      <c r="L128">
        <f t="shared" si="1"/>
        <v>4000</v>
      </c>
    </row>
    <row r="129" spans="1:12">
      <c r="A129">
        <v>1128</v>
      </c>
      <c r="B129" t="s">
        <v>162</v>
      </c>
      <c r="C129" t="s">
        <v>70</v>
      </c>
      <c r="D129" t="s">
        <v>32</v>
      </c>
      <c r="E129" t="s">
        <v>41</v>
      </c>
      <c r="F129">
        <v>4</v>
      </c>
      <c r="G129">
        <v>1200</v>
      </c>
      <c r="H129">
        <v>5</v>
      </c>
      <c r="I129">
        <v>4800</v>
      </c>
      <c r="J129">
        <v>240</v>
      </c>
      <c r="K129">
        <v>4560</v>
      </c>
      <c r="L129">
        <f t="shared" si="1"/>
        <v>912</v>
      </c>
    </row>
    <row r="130" spans="1:12">
      <c r="A130">
        <v>1129</v>
      </c>
      <c r="B130" t="s">
        <v>52</v>
      </c>
      <c r="C130" t="s">
        <v>70</v>
      </c>
      <c r="D130" t="s">
        <v>6</v>
      </c>
      <c r="E130" t="s">
        <v>22</v>
      </c>
      <c r="F130">
        <v>6</v>
      </c>
      <c r="G130">
        <v>50000</v>
      </c>
      <c r="H130">
        <v>0</v>
      </c>
      <c r="I130">
        <v>300000</v>
      </c>
      <c r="J130">
        <v>0</v>
      </c>
      <c r="K130">
        <v>300000</v>
      </c>
      <c r="L130">
        <f t="shared" ref="L130:L193" si="2">K130*20%</f>
        <v>60000</v>
      </c>
    </row>
    <row r="131" spans="1:12">
      <c r="A131">
        <v>1130</v>
      </c>
      <c r="B131" t="s">
        <v>163</v>
      </c>
      <c r="C131" t="s">
        <v>56</v>
      </c>
      <c r="D131" t="s">
        <v>6</v>
      </c>
      <c r="E131" t="s">
        <v>22</v>
      </c>
      <c r="F131">
        <v>7</v>
      </c>
      <c r="G131">
        <v>1200</v>
      </c>
      <c r="H131">
        <v>10</v>
      </c>
      <c r="I131">
        <v>8400</v>
      </c>
      <c r="J131">
        <v>840</v>
      </c>
      <c r="K131">
        <v>7560</v>
      </c>
      <c r="L131">
        <f t="shared" si="2"/>
        <v>1512</v>
      </c>
    </row>
    <row r="132" spans="1:12">
      <c r="A132">
        <v>1131</v>
      </c>
      <c r="B132" t="s">
        <v>119</v>
      </c>
      <c r="C132" t="s">
        <v>25</v>
      </c>
      <c r="D132" t="s">
        <v>6</v>
      </c>
      <c r="E132" t="s">
        <v>29</v>
      </c>
      <c r="F132">
        <v>7</v>
      </c>
      <c r="G132">
        <v>800</v>
      </c>
      <c r="H132">
        <v>2</v>
      </c>
      <c r="I132">
        <v>5600</v>
      </c>
      <c r="J132">
        <v>112</v>
      </c>
      <c r="K132">
        <v>5488</v>
      </c>
      <c r="L132">
        <f t="shared" si="2"/>
        <v>1097.6000000000001</v>
      </c>
    </row>
    <row r="133" spans="1:12">
      <c r="A133">
        <v>1132</v>
      </c>
      <c r="B133" t="s">
        <v>164</v>
      </c>
      <c r="C133" t="s">
        <v>66</v>
      </c>
      <c r="D133" t="s">
        <v>32</v>
      </c>
      <c r="E133" t="s">
        <v>33</v>
      </c>
      <c r="F133">
        <v>4</v>
      </c>
      <c r="G133">
        <v>500</v>
      </c>
      <c r="H133">
        <v>5</v>
      </c>
      <c r="I133">
        <v>2000</v>
      </c>
      <c r="J133">
        <v>100</v>
      </c>
      <c r="K133">
        <v>1900</v>
      </c>
      <c r="L133">
        <f t="shared" si="2"/>
        <v>380</v>
      </c>
    </row>
    <row r="134" spans="1:12">
      <c r="A134">
        <v>1133</v>
      </c>
      <c r="B134" t="s">
        <v>165</v>
      </c>
      <c r="C134" t="s">
        <v>25</v>
      </c>
      <c r="D134" t="s">
        <v>6</v>
      </c>
      <c r="E134" t="s">
        <v>22</v>
      </c>
      <c r="F134">
        <v>9</v>
      </c>
      <c r="G134">
        <v>2500</v>
      </c>
      <c r="H134">
        <v>15</v>
      </c>
      <c r="I134">
        <v>22500</v>
      </c>
      <c r="J134">
        <v>3375</v>
      </c>
      <c r="K134">
        <v>19125</v>
      </c>
      <c r="L134">
        <f t="shared" si="2"/>
        <v>3825</v>
      </c>
    </row>
    <row r="135" spans="1:12">
      <c r="A135">
        <v>1134</v>
      </c>
      <c r="B135" t="s">
        <v>124</v>
      </c>
      <c r="C135" t="s">
        <v>25</v>
      </c>
      <c r="D135" t="s">
        <v>6</v>
      </c>
      <c r="E135" t="s">
        <v>9</v>
      </c>
      <c r="F135">
        <v>3</v>
      </c>
      <c r="G135">
        <v>50000</v>
      </c>
      <c r="H135">
        <v>2</v>
      </c>
      <c r="I135">
        <v>150000</v>
      </c>
      <c r="J135">
        <v>3000</v>
      </c>
      <c r="K135">
        <v>147000</v>
      </c>
      <c r="L135">
        <f t="shared" si="2"/>
        <v>29400</v>
      </c>
    </row>
    <row r="136" spans="1:12">
      <c r="A136">
        <v>1135</v>
      </c>
      <c r="B136" t="s">
        <v>166</v>
      </c>
      <c r="C136" t="s">
        <v>21</v>
      </c>
      <c r="D136" t="s">
        <v>32</v>
      </c>
      <c r="E136" t="s">
        <v>33</v>
      </c>
      <c r="F136">
        <v>10</v>
      </c>
      <c r="G136">
        <v>2500</v>
      </c>
      <c r="H136">
        <v>15</v>
      </c>
      <c r="I136">
        <v>25000</v>
      </c>
      <c r="J136">
        <v>3750</v>
      </c>
      <c r="K136">
        <v>21250</v>
      </c>
      <c r="L136">
        <f t="shared" si="2"/>
        <v>4250</v>
      </c>
    </row>
    <row r="137" spans="1:12">
      <c r="A137">
        <v>1136</v>
      </c>
      <c r="B137" t="s">
        <v>167</v>
      </c>
      <c r="C137" t="s">
        <v>70</v>
      </c>
      <c r="D137" t="s">
        <v>32</v>
      </c>
      <c r="E137" t="s">
        <v>41</v>
      </c>
      <c r="F137">
        <v>3</v>
      </c>
      <c r="G137">
        <v>5000</v>
      </c>
      <c r="H137">
        <v>10</v>
      </c>
      <c r="I137">
        <v>15000</v>
      </c>
      <c r="J137">
        <v>1500</v>
      </c>
      <c r="K137">
        <v>13500</v>
      </c>
      <c r="L137">
        <f t="shared" si="2"/>
        <v>2700</v>
      </c>
    </row>
    <row r="138" spans="1:12">
      <c r="A138">
        <v>1137</v>
      </c>
      <c r="B138" t="s">
        <v>168</v>
      </c>
      <c r="C138" t="s">
        <v>38</v>
      </c>
      <c r="D138" t="s">
        <v>6</v>
      </c>
      <c r="E138" t="s">
        <v>9</v>
      </c>
      <c r="F138">
        <v>3</v>
      </c>
      <c r="G138">
        <v>2500</v>
      </c>
      <c r="H138">
        <v>10</v>
      </c>
      <c r="I138">
        <v>7500</v>
      </c>
      <c r="J138">
        <v>750</v>
      </c>
      <c r="K138">
        <v>6750</v>
      </c>
      <c r="L138">
        <f t="shared" si="2"/>
        <v>1350</v>
      </c>
    </row>
    <row r="139" spans="1:12">
      <c r="A139">
        <v>1138</v>
      </c>
      <c r="B139" t="s">
        <v>169</v>
      </c>
      <c r="C139" t="s">
        <v>70</v>
      </c>
      <c r="D139" t="s">
        <v>32</v>
      </c>
      <c r="E139" t="s">
        <v>51</v>
      </c>
      <c r="F139">
        <v>6</v>
      </c>
      <c r="G139">
        <v>10000</v>
      </c>
      <c r="H139">
        <v>2</v>
      </c>
      <c r="I139">
        <v>60000</v>
      </c>
      <c r="J139">
        <v>1200</v>
      </c>
      <c r="K139">
        <v>58800</v>
      </c>
      <c r="L139">
        <f t="shared" si="2"/>
        <v>11760</v>
      </c>
    </row>
    <row r="140" spans="1:12">
      <c r="A140">
        <v>1139</v>
      </c>
      <c r="B140" t="s">
        <v>170</v>
      </c>
      <c r="C140" t="s">
        <v>25</v>
      </c>
      <c r="D140" t="s">
        <v>47</v>
      </c>
      <c r="E140" t="s">
        <v>75</v>
      </c>
      <c r="F140">
        <v>10</v>
      </c>
      <c r="G140">
        <v>10000</v>
      </c>
      <c r="H140">
        <v>5</v>
      </c>
      <c r="I140">
        <v>100000</v>
      </c>
      <c r="J140">
        <v>5000</v>
      </c>
      <c r="K140">
        <v>95000</v>
      </c>
      <c r="L140">
        <f t="shared" si="2"/>
        <v>19000</v>
      </c>
    </row>
    <row r="141" spans="1:12">
      <c r="A141">
        <v>1140</v>
      </c>
      <c r="B141" t="s">
        <v>171</v>
      </c>
      <c r="C141" t="s">
        <v>21</v>
      </c>
      <c r="D141" t="s">
        <v>6</v>
      </c>
      <c r="E141" t="s">
        <v>9</v>
      </c>
      <c r="F141">
        <v>4</v>
      </c>
      <c r="G141">
        <v>10000</v>
      </c>
      <c r="H141">
        <v>5</v>
      </c>
      <c r="I141">
        <v>40000</v>
      </c>
      <c r="J141">
        <v>2000</v>
      </c>
      <c r="K141">
        <v>38000</v>
      </c>
      <c r="L141">
        <f t="shared" si="2"/>
        <v>7600</v>
      </c>
    </row>
    <row r="142" spans="1:12">
      <c r="A142">
        <v>1141</v>
      </c>
      <c r="B142" t="s">
        <v>172</v>
      </c>
      <c r="C142" t="s">
        <v>46</v>
      </c>
      <c r="D142" t="s">
        <v>47</v>
      </c>
      <c r="E142" t="s">
        <v>71</v>
      </c>
      <c r="F142">
        <v>8</v>
      </c>
      <c r="G142">
        <v>800</v>
      </c>
      <c r="H142">
        <v>15</v>
      </c>
      <c r="I142">
        <v>6400</v>
      </c>
      <c r="J142">
        <v>960</v>
      </c>
      <c r="K142">
        <v>5440</v>
      </c>
      <c r="L142">
        <f t="shared" si="2"/>
        <v>1088</v>
      </c>
    </row>
    <row r="143" spans="1:12">
      <c r="A143">
        <v>1142</v>
      </c>
      <c r="B143" t="s">
        <v>73</v>
      </c>
      <c r="C143" t="s">
        <v>21</v>
      </c>
      <c r="D143" t="s">
        <v>47</v>
      </c>
      <c r="E143" t="s">
        <v>71</v>
      </c>
      <c r="F143">
        <v>10</v>
      </c>
      <c r="G143">
        <v>20000</v>
      </c>
      <c r="H143">
        <v>5</v>
      </c>
      <c r="I143">
        <v>200000</v>
      </c>
      <c r="J143">
        <v>10000</v>
      </c>
      <c r="K143">
        <v>190000</v>
      </c>
      <c r="L143">
        <f t="shared" si="2"/>
        <v>38000</v>
      </c>
    </row>
    <row r="144" spans="1:12">
      <c r="A144">
        <v>1143</v>
      </c>
      <c r="B144" t="s">
        <v>119</v>
      </c>
      <c r="C144" t="s">
        <v>66</v>
      </c>
      <c r="D144" t="s">
        <v>6</v>
      </c>
      <c r="E144" t="s">
        <v>22</v>
      </c>
      <c r="F144">
        <v>6</v>
      </c>
      <c r="G144">
        <v>50000</v>
      </c>
      <c r="H144">
        <v>5</v>
      </c>
      <c r="I144">
        <v>300000</v>
      </c>
      <c r="J144">
        <v>15000</v>
      </c>
      <c r="K144">
        <v>285000</v>
      </c>
      <c r="L144">
        <f t="shared" si="2"/>
        <v>57000</v>
      </c>
    </row>
    <row r="145" spans="1:12">
      <c r="A145">
        <v>1144</v>
      </c>
      <c r="B145" t="s">
        <v>173</v>
      </c>
      <c r="C145" t="s">
        <v>70</v>
      </c>
      <c r="D145" t="s">
        <v>47</v>
      </c>
      <c r="E145" t="s">
        <v>48</v>
      </c>
      <c r="F145">
        <v>4</v>
      </c>
      <c r="G145">
        <v>5000</v>
      </c>
      <c r="H145">
        <v>0</v>
      </c>
      <c r="I145">
        <v>20000</v>
      </c>
      <c r="J145">
        <v>0</v>
      </c>
      <c r="K145">
        <v>20000</v>
      </c>
      <c r="L145">
        <f t="shared" si="2"/>
        <v>4000</v>
      </c>
    </row>
    <row r="146" spans="1:12">
      <c r="A146">
        <v>1145</v>
      </c>
      <c r="B146" t="s">
        <v>128</v>
      </c>
      <c r="C146" t="s">
        <v>38</v>
      </c>
      <c r="D146" t="s">
        <v>6</v>
      </c>
      <c r="E146" t="s">
        <v>22</v>
      </c>
      <c r="F146">
        <v>1</v>
      </c>
      <c r="G146">
        <v>50000</v>
      </c>
      <c r="H146">
        <v>15</v>
      </c>
      <c r="I146">
        <v>50000</v>
      </c>
      <c r="J146">
        <v>7500</v>
      </c>
      <c r="K146">
        <v>42500</v>
      </c>
      <c r="L146">
        <f t="shared" si="2"/>
        <v>8500</v>
      </c>
    </row>
    <row r="147" spans="1:12">
      <c r="A147">
        <v>1146</v>
      </c>
      <c r="B147" t="s">
        <v>174</v>
      </c>
      <c r="C147" t="s">
        <v>70</v>
      </c>
      <c r="D147" t="s">
        <v>6</v>
      </c>
      <c r="E147" t="s">
        <v>29</v>
      </c>
      <c r="F147">
        <v>6</v>
      </c>
      <c r="G147">
        <v>500</v>
      </c>
      <c r="H147">
        <v>0</v>
      </c>
      <c r="I147">
        <v>3000</v>
      </c>
      <c r="J147">
        <v>0</v>
      </c>
      <c r="K147">
        <v>3000</v>
      </c>
      <c r="L147">
        <f t="shared" si="2"/>
        <v>600</v>
      </c>
    </row>
    <row r="148" spans="1:12">
      <c r="A148">
        <v>1147</v>
      </c>
      <c r="B148" t="s">
        <v>127</v>
      </c>
      <c r="C148" t="s">
        <v>21</v>
      </c>
      <c r="D148" t="s">
        <v>47</v>
      </c>
      <c r="E148" t="s">
        <v>71</v>
      </c>
      <c r="F148">
        <v>8</v>
      </c>
      <c r="G148">
        <v>500</v>
      </c>
      <c r="H148">
        <v>5</v>
      </c>
      <c r="I148">
        <v>4000</v>
      </c>
      <c r="J148">
        <v>200</v>
      </c>
      <c r="K148">
        <v>3800</v>
      </c>
      <c r="L148">
        <f t="shared" si="2"/>
        <v>760</v>
      </c>
    </row>
    <row r="149" spans="1:12">
      <c r="A149">
        <v>1148</v>
      </c>
      <c r="B149" t="s">
        <v>61</v>
      </c>
      <c r="C149" t="s">
        <v>56</v>
      </c>
      <c r="D149" t="s">
        <v>6</v>
      </c>
      <c r="E149" t="s">
        <v>22</v>
      </c>
      <c r="F149">
        <v>1</v>
      </c>
      <c r="G149">
        <v>1200</v>
      </c>
      <c r="H149">
        <v>15</v>
      </c>
      <c r="I149">
        <v>1200</v>
      </c>
      <c r="J149">
        <v>180</v>
      </c>
      <c r="K149">
        <v>1020</v>
      </c>
      <c r="L149">
        <f t="shared" si="2"/>
        <v>204</v>
      </c>
    </row>
    <row r="150" spans="1:12">
      <c r="A150">
        <v>1149</v>
      </c>
      <c r="B150" t="s">
        <v>106</v>
      </c>
      <c r="C150" t="s">
        <v>38</v>
      </c>
      <c r="D150" t="s">
        <v>6</v>
      </c>
      <c r="E150" t="s">
        <v>29</v>
      </c>
      <c r="F150">
        <v>9</v>
      </c>
      <c r="G150">
        <v>5000</v>
      </c>
      <c r="H150">
        <v>10</v>
      </c>
      <c r="I150">
        <v>45000</v>
      </c>
      <c r="J150">
        <v>4500</v>
      </c>
      <c r="K150">
        <v>40500</v>
      </c>
      <c r="L150">
        <f t="shared" si="2"/>
        <v>8100</v>
      </c>
    </row>
    <row r="151" spans="1:12">
      <c r="A151">
        <v>1150</v>
      </c>
      <c r="B151" t="s">
        <v>175</v>
      </c>
      <c r="C151" t="s">
        <v>38</v>
      </c>
      <c r="D151" t="s">
        <v>6</v>
      </c>
      <c r="E151" t="s">
        <v>22</v>
      </c>
      <c r="F151">
        <v>6</v>
      </c>
      <c r="G151">
        <v>50000</v>
      </c>
      <c r="H151">
        <v>15</v>
      </c>
      <c r="I151">
        <v>300000</v>
      </c>
      <c r="J151">
        <v>45000</v>
      </c>
      <c r="K151">
        <v>255000</v>
      </c>
      <c r="L151">
        <f t="shared" si="2"/>
        <v>51000</v>
      </c>
    </row>
    <row r="152" spans="1:12">
      <c r="A152">
        <v>1151</v>
      </c>
      <c r="B152" t="s">
        <v>176</v>
      </c>
      <c r="C152" t="s">
        <v>66</v>
      </c>
      <c r="D152" t="s">
        <v>47</v>
      </c>
      <c r="E152" t="s">
        <v>75</v>
      </c>
      <c r="F152">
        <v>4</v>
      </c>
      <c r="G152">
        <v>5000</v>
      </c>
      <c r="H152">
        <v>15</v>
      </c>
      <c r="I152">
        <v>20000</v>
      </c>
      <c r="J152">
        <v>3000</v>
      </c>
      <c r="K152">
        <v>17000</v>
      </c>
      <c r="L152">
        <f t="shared" si="2"/>
        <v>3400</v>
      </c>
    </row>
    <row r="153" spans="1:12">
      <c r="A153">
        <v>1152</v>
      </c>
      <c r="B153" t="s">
        <v>68</v>
      </c>
      <c r="C153" t="s">
        <v>21</v>
      </c>
      <c r="D153" t="s">
        <v>6</v>
      </c>
      <c r="E153" t="s">
        <v>29</v>
      </c>
      <c r="F153">
        <v>1</v>
      </c>
      <c r="G153">
        <v>5000</v>
      </c>
      <c r="H153">
        <v>15</v>
      </c>
      <c r="I153">
        <v>5000</v>
      </c>
      <c r="J153">
        <v>750</v>
      </c>
      <c r="K153">
        <v>4250</v>
      </c>
      <c r="L153">
        <f t="shared" si="2"/>
        <v>850</v>
      </c>
    </row>
    <row r="154" spans="1:12">
      <c r="A154">
        <v>1153</v>
      </c>
      <c r="B154" t="s">
        <v>40</v>
      </c>
      <c r="C154" t="s">
        <v>25</v>
      </c>
      <c r="D154" t="s">
        <v>32</v>
      </c>
      <c r="E154" t="s">
        <v>33</v>
      </c>
      <c r="F154">
        <v>7</v>
      </c>
      <c r="G154">
        <v>5000</v>
      </c>
      <c r="H154">
        <v>0</v>
      </c>
      <c r="I154">
        <v>35000</v>
      </c>
      <c r="J154">
        <v>0</v>
      </c>
      <c r="K154">
        <v>35000</v>
      </c>
      <c r="L154">
        <f t="shared" si="2"/>
        <v>7000</v>
      </c>
    </row>
    <row r="155" spans="1:12">
      <c r="A155">
        <v>1154</v>
      </c>
      <c r="B155" t="s">
        <v>86</v>
      </c>
      <c r="C155" t="s">
        <v>66</v>
      </c>
      <c r="D155" t="s">
        <v>32</v>
      </c>
      <c r="E155" t="s">
        <v>33</v>
      </c>
      <c r="F155">
        <v>10</v>
      </c>
      <c r="G155">
        <v>2500</v>
      </c>
      <c r="H155">
        <v>5</v>
      </c>
      <c r="I155">
        <v>25000</v>
      </c>
      <c r="J155">
        <v>1250</v>
      </c>
      <c r="K155">
        <v>23750</v>
      </c>
      <c r="L155">
        <f t="shared" si="2"/>
        <v>4750</v>
      </c>
    </row>
    <row r="156" spans="1:12">
      <c r="A156">
        <v>1155</v>
      </c>
      <c r="B156" t="s">
        <v>91</v>
      </c>
      <c r="C156" t="s">
        <v>70</v>
      </c>
      <c r="D156" t="s">
        <v>47</v>
      </c>
      <c r="E156" t="s">
        <v>75</v>
      </c>
      <c r="F156">
        <v>9</v>
      </c>
      <c r="G156">
        <v>800</v>
      </c>
      <c r="H156">
        <v>10</v>
      </c>
      <c r="I156">
        <v>7200</v>
      </c>
      <c r="J156">
        <v>720</v>
      </c>
      <c r="K156">
        <v>6480</v>
      </c>
      <c r="L156">
        <f t="shared" si="2"/>
        <v>1296</v>
      </c>
    </row>
    <row r="157" spans="1:12">
      <c r="A157">
        <v>1156</v>
      </c>
      <c r="B157" t="s">
        <v>177</v>
      </c>
      <c r="C157" t="s">
        <v>46</v>
      </c>
      <c r="D157" t="s">
        <v>6</v>
      </c>
      <c r="E157" t="s">
        <v>29</v>
      </c>
      <c r="F157">
        <v>1</v>
      </c>
      <c r="G157">
        <v>50000</v>
      </c>
      <c r="H157">
        <v>10</v>
      </c>
      <c r="I157">
        <v>50000</v>
      </c>
      <c r="J157">
        <v>5000</v>
      </c>
      <c r="K157">
        <v>45000</v>
      </c>
      <c r="L157">
        <f t="shared" si="2"/>
        <v>9000</v>
      </c>
    </row>
    <row r="158" spans="1:12">
      <c r="A158">
        <v>1157</v>
      </c>
      <c r="B158" t="s">
        <v>61</v>
      </c>
      <c r="C158" t="s">
        <v>38</v>
      </c>
      <c r="D158" t="s">
        <v>6</v>
      </c>
      <c r="E158" t="s">
        <v>22</v>
      </c>
      <c r="F158">
        <v>1</v>
      </c>
      <c r="G158">
        <v>800</v>
      </c>
      <c r="H158">
        <v>5</v>
      </c>
      <c r="I158">
        <v>800</v>
      </c>
      <c r="J158">
        <v>40</v>
      </c>
      <c r="K158">
        <v>760</v>
      </c>
      <c r="L158">
        <f t="shared" si="2"/>
        <v>152</v>
      </c>
    </row>
    <row r="159" spans="1:12">
      <c r="A159">
        <v>1158</v>
      </c>
      <c r="B159" t="s">
        <v>178</v>
      </c>
      <c r="C159" t="s">
        <v>28</v>
      </c>
      <c r="D159" t="s">
        <v>6</v>
      </c>
      <c r="E159" t="s">
        <v>29</v>
      </c>
      <c r="F159">
        <v>4</v>
      </c>
      <c r="G159">
        <v>10000</v>
      </c>
      <c r="H159">
        <v>5</v>
      </c>
      <c r="I159">
        <v>40000</v>
      </c>
      <c r="J159">
        <v>2000</v>
      </c>
      <c r="K159">
        <v>38000</v>
      </c>
      <c r="L159">
        <f t="shared" si="2"/>
        <v>7600</v>
      </c>
    </row>
    <row r="160" spans="1:12">
      <c r="A160">
        <v>1159</v>
      </c>
      <c r="B160" t="s">
        <v>159</v>
      </c>
      <c r="C160" t="s">
        <v>50</v>
      </c>
      <c r="D160" t="s">
        <v>6</v>
      </c>
      <c r="E160" t="s">
        <v>29</v>
      </c>
      <c r="F160">
        <v>8</v>
      </c>
      <c r="G160">
        <v>1200</v>
      </c>
      <c r="H160">
        <v>5</v>
      </c>
      <c r="I160">
        <v>9600</v>
      </c>
      <c r="J160">
        <v>480</v>
      </c>
      <c r="K160">
        <v>9120</v>
      </c>
      <c r="L160">
        <f t="shared" si="2"/>
        <v>1824</v>
      </c>
    </row>
    <row r="161" spans="1:12">
      <c r="A161">
        <v>1160</v>
      </c>
      <c r="B161" t="s">
        <v>104</v>
      </c>
      <c r="C161" t="s">
        <v>66</v>
      </c>
      <c r="D161" t="s">
        <v>47</v>
      </c>
      <c r="E161" t="s">
        <v>75</v>
      </c>
      <c r="F161">
        <v>6</v>
      </c>
      <c r="G161">
        <v>20000</v>
      </c>
      <c r="H161">
        <v>5</v>
      </c>
      <c r="I161">
        <v>120000</v>
      </c>
      <c r="J161">
        <v>6000</v>
      </c>
      <c r="K161">
        <v>114000</v>
      </c>
      <c r="L161">
        <f t="shared" si="2"/>
        <v>22800</v>
      </c>
    </row>
    <row r="162" spans="1:12">
      <c r="A162">
        <v>1161</v>
      </c>
      <c r="B162" t="s">
        <v>179</v>
      </c>
      <c r="C162" t="s">
        <v>56</v>
      </c>
      <c r="D162" t="s">
        <v>32</v>
      </c>
      <c r="E162" t="s">
        <v>33</v>
      </c>
      <c r="F162">
        <v>4</v>
      </c>
      <c r="G162">
        <v>20000</v>
      </c>
      <c r="H162">
        <v>0</v>
      </c>
      <c r="I162">
        <v>80000</v>
      </c>
      <c r="J162">
        <v>0</v>
      </c>
      <c r="K162">
        <v>80000</v>
      </c>
      <c r="L162">
        <f t="shared" si="2"/>
        <v>16000</v>
      </c>
    </row>
    <row r="163" spans="1:12">
      <c r="A163">
        <v>1162</v>
      </c>
      <c r="B163" t="s">
        <v>180</v>
      </c>
      <c r="C163" t="s">
        <v>46</v>
      </c>
      <c r="D163" t="s">
        <v>32</v>
      </c>
      <c r="E163" t="s">
        <v>41</v>
      </c>
      <c r="F163">
        <v>1</v>
      </c>
      <c r="G163">
        <v>5000</v>
      </c>
      <c r="H163">
        <v>2</v>
      </c>
      <c r="I163">
        <v>5000</v>
      </c>
      <c r="J163">
        <v>100</v>
      </c>
      <c r="K163">
        <v>4900</v>
      </c>
      <c r="L163">
        <f t="shared" si="2"/>
        <v>980</v>
      </c>
    </row>
    <row r="164" spans="1:12">
      <c r="A164">
        <v>1163</v>
      </c>
      <c r="B164" t="s">
        <v>181</v>
      </c>
      <c r="C164" t="s">
        <v>25</v>
      </c>
      <c r="D164" t="s">
        <v>32</v>
      </c>
      <c r="E164" t="s">
        <v>51</v>
      </c>
      <c r="F164">
        <v>5</v>
      </c>
      <c r="G164">
        <v>2500</v>
      </c>
      <c r="H164">
        <v>15</v>
      </c>
      <c r="I164">
        <v>12500</v>
      </c>
      <c r="J164">
        <v>1875</v>
      </c>
      <c r="K164">
        <v>10625</v>
      </c>
      <c r="L164">
        <f t="shared" si="2"/>
        <v>2125</v>
      </c>
    </row>
    <row r="165" spans="1:12">
      <c r="A165">
        <v>1164</v>
      </c>
      <c r="B165" t="s">
        <v>182</v>
      </c>
      <c r="C165" t="s">
        <v>21</v>
      </c>
      <c r="D165" t="s">
        <v>6</v>
      </c>
      <c r="E165" t="s">
        <v>9</v>
      </c>
      <c r="F165">
        <v>6</v>
      </c>
      <c r="G165">
        <v>2500</v>
      </c>
      <c r="H165">
        <v>10</v>
      </c>
      <c r="I165">
        <v>15000</v>
      </c>
      <c r="J165">
        <v>1500</v>
      </c>
      <c r="K165">
        <v>13500</v>
      </c>
      <c r="L165">
        <f t="shared" si="2"/>
        <v>2700</v>
      </c>
    </row>
    <row r="166" spans="1:12">
      <c r="A166">
        <v>1165</v>
      </c>
      <c r="B166" t="s">
        <v>183</v>
      </c>
      <c r="C166" t="s">
        <v>56</v>
      </c>
      <c r="D166" t="s">
        <v>6</v>
      </c>
      <c r="E166" t="s">
        <v>9</v>
      </c>
      <c r="F166">
        <v>7</v>
      </c>
      <c r="G166">
        <v>50000</v>
      </c>
      <c r="H166">
        <v>2</v>
      </c>
      <c r="I166">
        <v>350000</v>
      </c>
      <c r="J166">
        <v>7000</v>
      </c>
      <c r="K166">
        <v>343000</v>
      </c>
      <c r="L166">
        <f t="shared" si="2"/>
        <v>68600</v>
      </c>
    </row>
    <row r="167" spans="1:12">
      <c r="A167">
        <v>1166</v>
      </c>
      <c r="B167" t="s">
        <v>97</v>
      </c>
      <c r="C167" t="s">
        <v>25</v>
      </c>
      <c r="D167" t="s">
        <v>32</v>
      </c>
      <c r="E167" t="s">
        <v>51</v>
      </c>
      <c r="F167">
        <v>5</v>
      </c>
      <c r="G167">
        <v>10000</v>
      </c>
      <c r="H167">
        <v>5</v>
      </c>
      <c r="I167">
        <v>50000</v>
      </c>
      <c r="J167">
        <v>2500</v>
      </c>
      <c r="K167">
        <v>47500</v>
      </c>
      <c r="L167">
        <f t="shared" si="2"/>
        <v>9500</v>
      </c>
    </row>
    <row r="168" spans="1:12">
      <c r="A168">
        <v>1167</v>
      </c>
      <c r="B168" t="s">
        <v>90</v>
      </c>
      <c r="C168" t="s">
        <v>46</v>
      </c>
      <c r="D168" t="s">
        <v>32</v>
      </c>
      <c r="E168" t="s">
        <v>41</v>
      </c>
      <c r="F168">
        <v>10</v>
      </c>
      <c r="G168">
        <v>5000</v>
      </c>
      <c r="H168">
        <v>2</v>
      </c>
      <c r="I168">
        <v>50000</v>
      </c>
      <c r="J168">
        <v>1000</v>
      </c>
      <c r="K168">
        <v>49000</v>
      </c>
      <c r="L168">
        <f t="shared" si="2"/>
        <v>9800</v>
      </c>
    </row>
    <row r="169" spans="1:12">
      <c r="A169">
        <v>1168</v>
      </c>
      <c r="B169" t="s">
        <v>102</v>
      </c>
      <c r="C169" t="s">
        <v>21</v>
      </c>
      <c r="D169" t="s">
        <v>32</v>
      </c>
      <c r="E169" t="s">
        <v>41</v>
      </c>
      <c r="F169">
        <v>9</v>
      </c>
      <c r="G169">
        <v>20000</v>
      </c>
      <c r="H169">
        <v>10</v>
      </c>
      <c r="I169">
        <v>180000</v>
      </c>
      <c r="J169">
        <v>18000</v>
      </c>
      <c r="K169">
        <v>162000</v>
      </c>
      <c r="L169">
        <f t="shared" si="2"/>
        <v>32400</v>
      </c>
    </row>
    <row r="170" spans="1:12">
      <c r="A170">
        <v>1169</v>
      </c>
      <c r="B170" t="s">
        <v>78</v>
      </c>
      <c r="C170" t="s">
        <v>25</v>
      </c>
      <c r="D170" t="s">
        <v>32</v>
      </c>
      <c r="E170" t="s">
        <v>41</v>
      </c>
      <c r="F170">
        <v>1</v>
      </c>
      <c r="G170">
        <v>50000</v>
      </c>
      <c r="H170">
        <v>15</v>
      </c>
      <c r="I170">
        <v>50000</v>
      </c>
      <c r="J170">
        <v>7500</v>
      </c>
      <c r="K170">
        <v>42500</v>
      </c>
      <c r="L170">
        <f t="shared" si="2"/>
        <v>8500</v>
      </c>
    </row>
    <row r="171" spans="1:12">
      <c r="A171">
        <v>1170</v>
      </c>
      <c r="B171" t="s">
        <v>184</v>
      </c>
      <c r="C171" t="s">
        <v>28</v>
      </c>
      <c r="D171" t="s">
        <v>6</v>
      </c>
      <c r="E171" t="s">
        <v>22</v>
      </c>
      <c r="F171">
        <v>3</v>
      </c>
      <c r="G171">
        <v>5000</v>
      </c>
      <c r="H171">
        <v>5</v>
      </c>
      <c r="I171">
        <v>15000</v>
      </c>
      <c r="J171">
        <v>750</v>
      </c>
      <c r="K171">
        <v>14250</v>
      </c>
      <c r="L171">
        <f t="shared" si="2"/>
        <v>2850</v>
      </c>
    </row>
    <row r="172" spans="1:12">
      <c r="A172">
        <v>1171</v>
      </c>
      <c r="B172" t="s">
        <v>185</v>
      </c>
      <c r="C172" t="s">
        <v>46</v>
      </c>
      <c r="D172" t="s">
        <v>6</v>
      </c>
      <c r="E172" t="s">
        <v>9</v>
      </c>
      <c r="F172">
        <v>10</v>
      </c>
      <c r="G172">
        <v>1200</v>
      </c>
      <c r="H172">
        <v>2</v>
      </c>
      <c r="I172">
        <v>12000</v>
      </c>
      <c r="J172">
        <v>240</v>
      </c>
      <c r="K172">
        <v>11760</v>
      </c>
      <c r="L172">
        <f t="shared" si="2"/>
        <v>2352</v>
      </c>
    </row>
    <row r="173" spans="1:12">
      <c r="A173">
        <v>1172</v>
      </c>
      <c r="B173" t="s">
        <v>145</v>
      </c>
      <c r="C173" t="s">
        <v>70</v>
      </c>
      <c r="D173" t="s">
        <v>47</v>
      </c>
      <c r="E173" t="s">
        <v>48</v>
      </c>
      <c r="F173">
        <v>5</v>
      </c>
      <c r="G173">
        <v>1200</v>
      </c>
      <c r="H173">
        <v>15</v>
      </c>
      <c r="I173">
        <v>6000</v>
      </c>
      <c r="J173">
        <v>900</v>
      </c>
      <c r="K173">
        <v>5100</v>
      </c>
      <c r="L173">
        <f t="shared" si="2"/>
        <v>1020</v>
      </c>
    </row>
    <row r="174" spans="1:12">
      <c r="A174">
        <v>1173</v>
      </c>
      <c r="B174" t="s">
        <v>35</v>
      </c>
      <c r="C174" t="s">
        <v>46</v>
      </c>
      <c r="D174" t="s">
        <v>47</v>
      </c>
      <c r="E174" t="s">
        <v>71</v>
      </c>
      <c r="F174">
        <v>3</v>
      </c>
      <c r="G174">
        <v>500</v>
      </c>
      <c r="H174">
        <v>10</v>
      </c>
      <c r="I174">
        <v>1500</v>
      </c>
      <c r="J174">
        <v>150</v>
      </c>
      <c r="K174">
        <v>1350</v>
      </c>
      <c r="L174">
        <f t="shared" si="2"/>
        <v>270</v>
      </c>
    </row>
    <row r="175" spans="1:12">
      <c r="A175">
        <v>1174</v>
      </c>
      <c r="B175" t="s">
        <v>186</v>
      </c>
      <c r="C175" t="s">
        <v>66</v>
      </c>
      <c r="D175" t="s">
        <v>32</v>
      </c>
      <c r="E175" t="s">
        <v>33</v>
      </c>
      <c r="F175">
        <v>5</v>
      </c>
      <c r="G175">
        <v>20000</v>
      </c>
      <c r="H175">
        <v>5</v>
      </c>
      <c r="I175">
        <v>100000</v>
      </c>
      <c r="J175">
        <v>5000</v>
      </c>
      <c r="K175">
        <v>95000</v>
      </c>
      <c r="L175">
        <f t="shared" si="2"/>
        <v>19000</v>
      </c>
    </row>
    <row r="176" spans="1:12">
      <c r="A176">
        <v>1175</v>
      </c>
      <c r="B176" t="s">
        <v>187</v>
      </c>
      <c r="C176" t="s">
        <v>38</v>
      </c>
      <c r="D176" t="s">
        <v>47</v>
      </c>
      <c r="E176" t="s">
        <v>71</v>
      </c>
      <c r="F176">
        <v>2</v>
      </c>
      <c r="G176">
        <v>5000</v>
      </c>
      <c r="H176">
        <v>2</v>
      </c>
      <c r="I176">
        <v>10000</v>
      </c>
      <c r="J176">
        <v>200</v>
      </c>
      <c r="K176">
        <v>9800</v>
      </c>
      <c r="L176">
        <f t="shared" si="2"/>
        <v>1960</v>
      </c>
    </row>
    <row r="177" spans="1:12">
      <c r="A177">
        <v>1176</v>
      </c>
      <c r="B177" t="s">
        <v>188</v>
      </c>
      <c r="C177" t="s">
        <v>66</v>
      </c>
      <c r="D177" t="s">
        <v>47</v>
      </c>
      <c r="E177" t="s">
        <v>71</v>
      </c>
      <c r="F177">
        <v>4</v>
      </c>
      <c r="G177">
        <v>1200</v>
      </c>
      <c r="H177">
        <v>5</v>
      </c>
      <c r="I177">
        <v>4800</v>
      </c>
      <c r="J177">
        <v>240</v>
      </c>
      <c r="K177">
        <v>4560</v>
      </c>
      <c r="L177">
        <f t="shared" si="2"/>
        <v>912</v>
      </c>
    </row>
    <row r="178" spans="1:12">
      <c r="A178">
        <v>1177</v>
      </c>
      <c r="B178" t="s">
        <v>88</v>
      </c>
      <c r="C178" t="s">
        <v>50</v>
      </c>
      <c r="D178" t="s">
        <v>6</v>
      </c>
      <c r="E178" t="s">
        <v>22</v>
      </c>
      <c r="F178">
        <v>5</v>
      </c>
      <c r="G178">
        <v>800</v>
      </c>
      <c r="H178">
        <v>15</v>
      </c>
      <c r="I178">
        <v>4000</v>
      </c>
      <c r="J178">
        <v>600</v>
      </c>
      <c r="K178">
        <v>3400</v>
      </c>
      <c r="L178">
        <f t="shared" si="2"/>
        <v>680</v>
      </c>
    </row>
    <row r="179" spans="1:12">
      <c r="A179">
        <v>1178</v>
      </c>
      <c r="B179" t="s">
        <v>189</v>
      </c>
      <c r="C179" t="s">
        <v>66</v>
      </c>
      <c r="D179" t="s">
        <v>32</v>
      </c>
      <c r="E179" t="s">
        <v>33</v>
      </c>
      <c r="F179">
        <v>10</v>
      </c>
      <c r="G179">
        <v>5000</v>
      </c>
      <c r="H179">
        <v>5</v>
      </c>
      <c r="I179">
        <v>50000</v>
      </c>
      <c r="J179">
        <v>2500</v>
      </c>
      <c r="K179">
        <v>47500</v>
      </c>
      <c r="L179">
        <f t="shared" si="2"/>
        <v>9500</v>
      </c>
    </row>
    <row r="180" spans="1:12">
      <c r="A180">
        <v>1179</v>
      </c>
      <c r="B180" t="s">
        <v>190</v>
      </c>
      <c r="C180" t="s">
        <v>28</v>
      </c>
      <c r="D180" t="s">
        <v>47</v>
      </c>
      <c r="E180" t="s">
        <v>48</v>
      </c>
      <c r="F180">
        <v>5</v>
      </c>
      <c r="G180">
        <v>20000</v>
      </c>
      <c r="H180">
        <v>10</v>
      </c>
      <c r="I180">
        <v>100000</v>
      </c>
      <c r="J180">
        <v>10000</v>
      </c>
      <c r="K180">
        <v>90000</v>
      </c>
      <c r="L180">
        <f t="shared" si="2"/>
        <v>18000</v>
      </c>
    </row>
    <row r="181" spans="1:12">
      <c r="A181">
        <v>1180</v>
      </c>
      <c r="B181" t="s">
        <v>191</v>
      </c>
      <c r="C181" t="s">
        <v>28</v>
      </c>
      <c r="D181" t="s">
        <v>47</v>
      </c>
      <c r="E181" t="s">
        <v>48</v>
      </c>
      <c r="F181">
        <v>4</v>
      </c>
      <c r="G181">
        <v>800</v>
      </c>
      <c r="H181">
        <v>10</v>
      </c>
      <c r="I181">
        <v>3200</v>
      </c>
      <c r="J181">
        <v>320</v>
      </c>
      <c r="K181">
        <v>2880</v>
      </c>
      <c r="L181">
        <f t="shared" si="2"/>
        <v>576</v>
      </c>
    </row>
    <row r="182" spans="1:12">
      <c r="A182">
        <v>1181</v>
      </c>
      <c r="B182" t="s">
        <v>192</v>
      </c>
      <c r="C182" t="s">
        <v>56</v>
      </c>
      <c r="D182" t="s">
        <v>6</v>
      </c>
      <c r="E182" t="s">
        <v>9</v>
      </c>
      <c r="F182">
        <v>9</v>
      </c>
      <c r="G182">
        <v>10000</v>
      </c>
      <c r="H182">
        <v>15</v>
      </c>
      <c r="I182">
        <v>90000</v>
      </c>
      <c r="J182">
        <v>13500</v>
      </c>
      <c r="K182">
        <v>76500</v>
      </c>
      <c r="L182">
        <f t="shared" si="2"/>
        <v>15300</v>
      </c>
    </row>
    <row r="183" spans="1:12">
      <c r="A183">
        <v>1182</v>
      </c>
      <c r="B183" t="s">
        <v>193</v>
      </c>
      <c r="C183" t="s">
        <v>70</v>
      </c>
      <c r="D183" t="s">
        <v>32</v>
      </c>
      <c r="E183" t="s">
        <v>41</v>
      </c>
      <c r="F183">
        <v>8</v>
      </c>
      <c r="G183">
        <v>50000</v>
      </c>
      <c r="H183">
        <v>5</v>
      </c>
      <c r="I183">
        <v>400000</v>
      </c>
      <c r="J183">
        <v>20000</v>
      </c>
      <c r="K183">
        <v>380000</v>
      </c>
      <c r="L183">
        <f t="shared" si="2"/>
        <v>76000</v>
      </c>
    </row>
    <row r="184" spans="1:12">
      <c r="A184">
        <v>1183</v>
      </c>
      <c r="B184" t="s">
        <v>180</v>
      </c>
      <c r="C184" t="s">
        <v>38</v>
      </c>
      <c r="D184" t="s">
        <v>47</v>
      </c>
      <c r="E184" t="s">
        <v>71</v>
      </c>
      <c r="F184">
        <v>9</v>
      </c>
      <c r="G184">
        <v>1200</v>
      </c>
      <c r="H184">
        <v>2</v>
      </c>
      <c r="I184">
        <v>10800</v>
      </c>
      <c r="J184">
        <v>216</v>
      </c>
      <c r="K184">
        <v>10584</v>
      </c>
      <c r="L184">
        <f t="shared" si="2"/>
        <v>2116.8000000000002</v>
      </c>
    </row>
    <row r="185" spans="1:12">
      <c r="A185">
        <v>1184</v>
      </c>
      <c r="B185" t="s">
        <v>106</v>
      </c>
      <c r="C185" t="s">
        <v>25</v>
      </c>
      <c r="D185" t="s">
        <v>47</v>
      </c>
      <c r="E185" t="s">
        <v>75</v>
      </c>
      <c r="F185">
        <v>3</v>
      </c>
      <c r="G185">
        <v>1200</v>
      </c>
      <c r="H185">
        <v>15</v>
      </c>
      <c r="I185">
        <v>3600</v>
      </c>
      <c r="J185">
        <v>540</v>
      </c>
      <c r="K185">
        <v>3060</v>
      </c>
      <c r="L185">
        <f t="shared" si="2"/>
        <v>612</v>
      </c>
    </row>
    <row r="186" spans="1:12">
      <c r="A186">
        <v>1185</v>
      </c>
      <c r="B186" t="s">
        <v>194</v>
      </c>
      <c r="C186" t="s">
        <v>38</v>
      </c>
      <c r="D186" t="s">
        <v>6</v>
      </c>
      <c r="E186" t="s">
        <v>9</v>
      </c>
      <c r="F186">
        <v>1</v>
      </c>
      <c r="G186">
        <v>500</v>
      </c>
      <c r="H186">
        <v>2</v>
      </c>
      <c r="I186">
        <v>500</v>
      </c>
      <c r="J186">
        <v>10</v>
      </c>
      <c r="K186">
        <v>490</v>
      </c>
      <c r="L186">
        <f t="shared" si="2"/>
        <v>98</v>
      </c>
    </row>
    <row r="187" spans="1:12">
      <c r="A187">
        <v>1186</v>
      </c>
      <c r="B187" t="s">
        <v>195</v>
      </c>
      <c r="C187" t="s">
        <v>21</v>
      </c>
      <c r="D187" t="s">
        <v>6</v>
      </c>
      <c r="E187" t="s">
        <v>9</v>
      </c>
      <c r="F187">
        <v>5</v>
      </c>
      <c r="G187">
        <v>2500</v>
      </c>
      <c r="H187">
        <v>5</v>
      </c>
      <c r="I187">
        <v>12500</v>
      </c>
      <c r="J187">
        <v>625</v>
      </c>
      <c r="K187">
        <v>11875</v>
      </c>
      <c r="L187">
        <f t="shared" si="2"/>
        <v>2375</v>
      </c>
    </row>
    <row r="188" spans="1:12">
      <c r="A188">
        <v>1187</v>
      </c>
      <c r="B188" t="s">
        <v>186</v>
      </c>
      <c r="C188" t="s">
        <v>25</v>
      </c>
      <c r="D188" t="s">
        <v>32</v>
      </c>
      <c r="E188" t="s">
        <v>33</v>
      </c>
      <c r="F188">
        <v>6</v>
      </c>
      <c r="G188">
        <v>500</v>
      </c>
      <c r="H188">
        <v>10</v>
      </c>
      <c r="I188">
        <v>3000</v>
      </c>
      <c r="J188">
        <v>300</v>
      </c>
      <c r="K188">
        <v>2700</v>
      </c>
      <c r="L188">
        <f t="shared" si="2"/>
        <v>540</v>
      </c>
    </row>
    <row r="189" spans="1:12">
      <c r="A189">
        <v>1188</v>
      </c>
      <c r="B189" t="s">
        <v>196</v>
      </c>
      <c r="C189" t="s">
        <v>21</v>
      </c>
      <c r="D189" t="s">
        <v>32</v>
      </c>
      <c r="E189" t="s">
        <v>33</v>
      </c>
      <c r="F189">
        <v>10</v>
      </c>
      <c r="G189">
        <v>5000</v>
      </c>
      <c r="H189">
        <v>0</v>
      </c>
      <c r="I189">
        <v>50000</v>
      </c>
      <c r="J189">
        <v>0</v>
      </c>
      <c r="K189">
        <v>50000</v>
      </c>
      <c r="L189">
        <f t="shared" si="2"/>
        <v>10000</v>
      </c>
    </row>
    <row r="190" spans="1:12">
      <c r="A190">
        <v>1189</v>
      </c>
      <c r="B190" t="s">
        <v>197</v>
      </c>
      <c r="C190" t="s">
        <v>46</v>
      </c>
      <c r="D190" t="s">
        <v>32</v>
      </c>
      <c r="E190" t="s">
        <v>41</v>
      </c>
      <c r="F190">
        <v>1</v>
      </c>
      <c r="G190">
        <v>10000</v>
      </c>
      <c r="H190">
        <v>10</v>
      </c>
      <c r="I190">
        <v>10000</v>
      </c>
      <c r="J190">
        <v>1000</v>
      </c>
      <c r="K190">
        <v>9000</v>
      </c>
      <c r="L190">
        <f t="shared" si="2"/>
        <v>1800</v>
      </c>
    </row>
    <row r="191" spans="1:12">
      <c r="A191">
        <v>1190</v>
      </c>
      <c r="B191" t="s">
        <v>198</v>
      </c>
      <c r="C191" t="s">
        <v>56</v>
      </c>
      <c r="D191" t="s">
        <v>6</v>
      </c>
      <c r="E191" t="s">
        <v>22</v>
      </c>
      <c r="F191">
        <v>1</v>
      </c>
      <c r="G191">
        <v>800</v>
      </c>
      <c r="H191">
        <v>10</v>
      </c>
      <c r="I191">
        <v>800</v>
      </c>
      <c r="J191">
        <v>80</v>
      </c>
      <c r="K191">
        <v>720</v>
      </c>
      <c r="L191">
        <f t="shared" si="2"/>
        <v>144</v>
      </c>
    </row>
    <row r="192" spans="1:12">
      <c r="A192">
        <v>1191</v>
      </c>
      <c r="B192" t="s">
        <v>199</v>
      </c>
      <c r="C192" t="s">
        <v>21</v>
      </c>
      <c r="D192" t="s">
        <v>47</v>
      </c>
      <c r="E192" t="s">
        <v>48</v>
      </c>
      <c r="F192">
        <v>7</v>
      </c>
      <c r="G192">
        <v>800</v>
      </c>
      <c r="H192">
        <v>2</v>
      </c>
      <c r="I192">
        <v>5600</v>
      </c>
      <c r="J192">
        <v>112</v>
      </c>
      <c r="K192">
        <v>5488</v>
      </c>
      <c r="L192">
        <f t="shared" si="2"/>
        <v>1097.6000000000001</v>
      </c>
    </row>
    <row r="193" spans="1:12">
      <c r="A193">
        <v>1192</v>
      </c>
      <c r="B193" t="s">
        <v>200</v>
      </c>
      <c r="C193" t="s">
        <v>66</v>
      </c>
      <c r="D193" t="s">
        <v>6</v>
      </c>
      <c r="E193" t="s">
        <v>29</v>
      </c>
      <c r="F193">
        <v>1</v>
      </c>
      <c r="G193">
        <v>20000</v>
      </c>
      <c r="H193">
        <v>2</v>
      </c>
      <c r="I193">
        <v>20000</v>
      </c>
      <c r="J193">
        <v>400</v>
      </c>
      <c r="K193">
        <v>19600</v>
      </c>
      <c r="L193">
        <f t="shared" si="2"/>
        <v>3920</v>
      </c>
    </row>
    <row r="194" spans="1:12">
      <c r="A194">
        <v>1193</v>
      </c>
      <c r="B194" t="s">
        <v>123</v>
      </c>
      <c r="C194" t="s">
        <v>66</v>
      </c>
      <c r="D194" t="s">
        <v>6</v>
      </c>
      <c r="E194" t="s">
        <v>9</v>
      </c>
      <c r="F194">
        <v>5</v>
      </c>
      <c r="G194">
        <v>10000</v>
      </c>
      <c r="H194">
        <v>2</v>
      </c>
      <c r="I194">
        <v>50000</v>
      </c>
      <c r="J194">
        <v>1000</v>
      </c>
      <c r="K194">
        <v>49000</v>
      </c>
      <c r="L194">
        <f t="shared" ref="L194:L257" si="3">K194*20%</f>
        <v>9800</v>
      </c>
    </row>
    <row r="195" spans="1:12">
      <c r="A195">
        <v>1194</v>
      </c>
      <c r="B195" t="s">
        <v>201</v>
      </c>
      <c r="C195" t="s">
        <v>38</v>
      </c>
      <c r="D195" t="s">
        <v>47</v>
      </c>
      <c r="E195" t="s">
        <v>71</v>
      </c>
      <c r="F195">
        <v>9</v>
      </c>
      <c r="G195">
        <v>2500</v>
      </c>
      <c r="H195">
        <v>15</v>
      </c>
      <c r="I195">
        <v>22500</v>
      </c>
      <c r="J195">
        <v>3375</v>
      </c>
      <c r="K195">
        <v>19125</v>
      </c>
      <c r="L195">
        <f t="shared" si="3"/>
        <v>3825</v>
      </c>
    </row>
    <row r="196" spans="1:12">
      <c r="A196">
        <v>1195</v>
      </c>
      <c r="B196" t="s">
        <v>202</v>
      </c>
      <c r="C196" t="s">
        <v>46</v>
      </c>
      <c r="D196" t="s">
        <v>32</v>
      </c>
      <c r="E196" t="s">
        <v>41</v>
      </c>
      <c r="F196">
        <v>4</v>
      </c>
      <c r="G196">
        <v>2500</v>
      </c>
      <c r="H196">
        <v>2</v>
      </c>
      <c r="I196">
        <v>10000</v>
      </c>
      <c r="J196">
        <v>200</v>
      </c>
      <c r="K196">
        <v>9800</v>
      </c>
      <c r="L196">
        <f t="shared" si="3"/>
        <v>1960</v>
      </c>
    </row>
    <row r="197" spans="1:12">
      <c r="A197">
        <v>1196</v>
      </c>
      <c r="B197" t="s">
        <v>203</v>
      </c>
      <c r="C197" t="s">
        <v>25</v>
      </c>
      <c r="D197" t="s">
        <v>6</v>
      </c>
      <c r="E197" t="s">
        <v>22</v>
      </c>
      <c r="F197">
        <v>7</v>
      </c>
      <c r="G197">
        <v>50000</v>
      </c>
      <c r="H197">
        <v>5</v>
      </c>
      <c r="I197">
        <v>350000</v>
      </c>
      <c r="J197">
        <v>17500</v>
      </c>
      <c r="K197">
        <v>332500</v>
      </c>
      <c r="L197">
        <f t="shared" si="3"/>
        <v>66500</v>
      </c>
    </row>
    <row r="198" spans="1:12">
      <c r="A198">
        <v>1197</v>
      </c>
      <c r="B198" t="s">
        <v>62</v>
      </c>
      <c r="C198" t="s">
        <v>28</v>
      </c>
      <c r="D198" t="s">
        <v>47</v>
      </c>
      <c r="E198" t="s">
        <v>48</v>
      </c>
      <c r="F198">
        <v>5</v>
      </c>
      <c r="G198">
        <v>10000</v>
      </c>
      <c r="H198">
        <v>0</v>
      </c>
      <c r="I198">
        <v>50000</v>
      </c>
      <c r="J198">
        <v>0</v>
      </c>
      <c r="K198">
        <v>50000</v>
      </c>
      <c r="L198">
        <f t="shared" si="3"/>
        <v>10000</v>
      </c>
    </row>
    <row r="199" spans="1:12">
      <c r="A199">
        <v>1198</v>
      </c>
      <c r="B199" t="s">
        <v>204</v>
      </c>
      <c r="C199" t="s">
        <v>25</v>
      </c>
      <c r="D199" t="s">
        <v>32</v>
      </c>
      <c r="E199" t="s">
        <v>51</v>
      </c>
      <c r="F199">
        <v>2</v>
      </c>
      <c r="G199">
        <v>1200</v>
      </c>
      <c r="H199">
        <v>2</v>
      </c>
      <c r="I199">
        <v>2400</v>
      </c>
      <c r="J199">
        <v>48</v>
      </c>
      <c r="K199">
        <v>2352</v>
      </c>
      <c r="L199">
        <f t="shared" si="3"/>
        <v>470.40000000000003</v>
      </c>
    </row>
    <row r="200" spans="1:12">
      <c r="A200">
        <v>1199</v>
      </c>
      <c r="B200" t="s">
        <v>178</v>
      </c>
      <c r="C200" t="s">
        <v>28</v>
      </c>
      <c r="D200" t="s">
        <v>47</v>
      </c>
      <c r="E200" t="s">
        <v>71</v>
      </c>
      <c r="F200">
        <v>2</v>
      </c>
      <c r="G200">
        <v>800</v>
      </c>
      <c r="H200">
        <v>5</v>
      </c>
      <c r="I200">
        <v>1600</v>
      </c>
      <c r="J200">
        <v>80</v>
      </c>
      <c r="K200">
        <v>1520</v>
      </c>
      <c r="L200">
        <f t="shared" si="3"/>
        <v>304</v>
      </c>
    </row>
    <row r="201" spans="1:12">
      <c r="A201">
        <v>1200</v>
      </c>
      <c r="B201" t="s">
        <v>205</v>
      </c>
      <c r="C201" t="s">
        <v>46</v>
      </c>
      <c r="D201" t="s">
        <v>47</v>
      </c>
      <c r="E201" t="s">
        <v>48</v>
      </c>
      <c r="F201">
        <v>7</v>
      </c>
      <c r="G201">
        <v>50000</v>
      </c>
      <c r="H201">
        <v>2</v>
      </c>
      <c r="I201">
        <v>350000</v>
      </c>
      <c r="J201">
        <v>7000</v>
      </c>
      <c r="K201">
        <v>343000</v>
      </c>
      <c r="L201">
        <f t="shared" si="3"/>
        <v>68600</v>
      </c>
    </row>
    <row r="202" spans="1:12">
      <c r="A202">
        <v>1201</v>
      </c>
      <c r="B202" t="s">
        <v>206</v>
      </c>
      <c r="C202" t="s">
        <v>28</v>
      </c>
      <c r="D202" t="s">
        <v>32</v>
      </c>
      <c r="E202" t="s">
        <v>41</v>
      </c>
      <c r="F202">
        <v>8</v>
      </c>
      <c r="G202">
        <v>500</v>
      </c>
      <c r="H202">
        <v>2</v>
      </c>
      <c r="I202">
        <v>4000</v>
      </c>
      <c r="J202">
        <v>80</v>
      </c>
      <c r="K202">
        <v>3920</v>
      </c>
      <c r="L202">
        <f t="shared" si="3"/>
        <v>784</v>
      </c>
    </row>
    <row r="203" spans="1:12">
      <c r="A203">
        <v>1202</v>
      </c>
      <c r="B203" t="s">
        <v>189</v>
      </c>
      <c r="C203" t="s">
        <v>70</v>
      </c>
      <c r="D203" t="s">
        <v>47</v>
      </c>
      <c r="E203" t="s">
        <v>75</v>
      </c>
      <c r="F203">
        <v>4</v>
      </c>
      <c r="G203">
        <v>20000</v>
      </c>
      <c r="H203">
        <v>0</v>
      </c>
      <c r="I203">
        <v>80000</v>
      </c>
      <c r="J203">
        <v>0</v>
      </c>
      <c r="K203">
        <v>80000</v>
      </c>
      <c r="L203">
        <f t="shared" si="3"/>
        <v>16000</v>
      </c>
    </row>
    <row r="204" spans="1:12">
      <c r="A204">
        <v>1203</v>
      </c>
      <c r="B204" t="s">
        <v>207</v>
      </c>
      <c r="C204" t="s">
        <v>58</v>
      </c>
      <c r="D204" t="s">
        <v>32</v>
      </c>
      <c r="E204" t="s">
        <v>51</v>
      </c>
      <c r="F204">
        <v>6</v>
      </c>
      <c r="G204">
        <v>5000</v>
      </c>
      <c r="H204">
        <v>2</v>
      </c>
      <c r="I204">
        <v>30000</v>
      </c>
      <c r="J204">
        <v>600</v>
      </c>
      <c r="K204">
        <v>29400</v>
      </c>
      <c r="L204">
        <f t="shared" si="3"/>
        <v>5880</v>
      </c>
    </row>
    <row r="205" spans="1:12">
      <c r="A205">
        <v>1204</v>
      </c>
      <c r="B205" t="s">
        <v>208</v>
      </c>
      <c r="C205" t="s">
        <v>66</v>
      </c>
      <c r="D205" t="s">
        <v>6</v>
      </c>
      <c r="E205" t="s">
        <v>22</v>
      </c>
      <c r="F205">
        <v>3</v>
      </c>
      <c r="G205">
        <v>2500</v>
      </c>
      <c r="H205">
        <v>2</v>
      </c>
      <c r="I205">
        <v>7500</v>
      </c>
      <c r="J205">
        <v>150</v>
      </c>
      <c r="K205">
        <v>7350</v>
      </c>
      <c r="L205">
        <f t="shared" si="3"/>
        <v>1470</v>
      </c>
    </row>
    <row r="206" spans="1:12">
      <c r="A206">
        <v>1205</v>
      </c>
      <c r="B206" t="s">
        <v>209</v>
      </c>
      <c r="C206" t="s">
        <v>28</v>
      </c>
      <c r="D206" t="s">
        <v>6</v>
      </c>
      <c r="E206" t="s">
        <v>22</v>
      </c>
      <c r="F206">
        <v>9</v>
      </c>
      <c r="G206">
        <v>20000</v>
      </c>
      <c r="H206">
        <v>15</v>
      </c>
      <c r="I206">
        <v>180000</v>
      </c>
      <c r="J206">
        <v>27000</v>
      </c>
      <c r="K206">
        <v>153000</v>
      </c>
      <c r="L206">
        <f t="shared" si="3"/>
        <v>30600</v>
      </c>
    </row>
    <row r="207" spans="1:12">
      <c r="A207">
        <v>1206</v>
      </c>
      <c r="B207" t="s">
        <v>210</v>
      </c>
      <c r="C207" t="s">
        <v>28</v>
      </c>
      <c r="D207" t="s">
        <v>47</v>
      </c>
      <c r="E207" t="s">
        <v>75</v>
      </c>
      <c r="F207">
        <v>6</v>
      </c>
      <c r="G207">
        <v>500</v>
      </c>
      <c r="H207">
        <v>15</v>
      </c>
      <c r="I207">
        <v>3000</v>
      </c>
      <c r="J207">
        <v>450</v>
      </c>
      <c r="K207">
        <v>2550</v>
      </c>
      <c r="L207">
        <f t="shared" si="3"/>
        <v>510</v>
      </c>
    </row>
    <row r="208" spans="1:12">
      <c r="A208">
        <v>1207</v>
      </c>
      <c r="B208" t="s">
        <v>211</v>
      </c>
      <c r="C208" t="s">
        <v>66</v>
      </c>
      <c r="D208" t="s">
        <v>32</v>
      </c>
      <c r="E208" t="s">
        <v>41</v>
      </c>
      <c r="F208">
        <v>5</v>
      </c>
      <c r="G208">
        <v>5000</v>
      </c>
      <c r="H208">
        <v>10</v>
      </c>
      <c r="I208">
        <v>25000</v>
      </c>
      <c r="J208">
        <v>2500</v>
      </c>
      <c r="K208">
        <v>22500</v>
      </c>
      <c r="L208">
        <f t="shared" si="3"/>
        <v>4500</v>
      </c>
    </row>
    <row r="209" spans="1:12">
      <c r="A209">
        <v>1208</v>
      </c>
      <c r="B209" t="s">
        <v>212</v>
      </c>
      <c r="C209" t="s">
        <v>38</v>
      </c>
      <c r="D209" t="s">
        <v>6</v>
      </c>
      <c r="E209" t="s">
        <v>22</v>
      </c>
      <c r="F209">
        <v>5</v>
      </c>
      <c r="G209">
        <v>2500</v>
      </c>
      <c r="H209">
        <v>0</v>
      </c>
      <c r="I209">
        <v>12500</v>
      </c>
      <c r="J209">
        <v>0</v>
      </c>
      <c r="K209">
        <v>12500</v>
      </c>
      <c r="L209">
        <f t="shared" si="3"/>
        <v>2500</v>
      </c>
    </row>
    <row r="210" spans="1:12">
      <c r="A210">
        <v>1209</v>
      </c>
      <c r="B210" t="s">
        <v>213</v>
      </c>
      <c r="C210" t="s">
        <v>58</v>
      </c>
      <c r="D210" t="s">
        <v>6</v>
      </c>
      <c r="E210" t="s">
        <v>29</v>
      </c>
      <c r="F210">
        <v>1</v>
      </c>
      <c r="G210">
        <v>800</v>
      </c>
      <c r="H210">
        <v>0</v>
      </c>
      <c r="I210">
        <v>800</v>
      </c>
      <c r="J210">
        <v>0</v>
      </c>
      <c r="K210">
        <v>800</v>
      </c>
      <c r="L210">
        <f t="shared" si="3"/>
        <v>160</v>
      </c>
    </row>
    <row r="211" spans="1:12">
      <c r="A211">
        <v>1210</v>
      </c>
      <c r="B211" t="s">
        <v>159</v>
      </c>
      <c r="C211" t="s">
        <v>21</v>
      </c>
      <c r="D211" t="s">
        <v>32</v>
      </c>
      <c r="E211" t="s">
        <v>41</v>
      </c>
      <c r="F211">
        <v>4</v>
      </c>
      <c r="G211">
        <v>5000</v>
      </c>
      <c r="H211">
        <v>15</v>
      </c>
      <c r="I211">
        <v>20000</v>
      </c>
      <c r="J211">
        <v>3000</v>
      </c>
      <c r="K211">
        <v>17000</v>
      </c>
      <c r="L211">
        <f t="shared" si="3"/>
        <v>3400</v>
      </c>
    </row>
    <row r="212" spans="1:12">
      <c r="A212">
        <v>1211</v>
      </c>
      <c r="B212" t="s">
        <v>98</v>
      </c>
      <c r="C212" t="s">
        <v>28</v>
      </c>
      <c r="D212" t="s">
        <v>32</v>
      </c>
      <c r="E212" t="s">
        <v>51</v>
      </c>
      <c r="F212">
        <v>7</v>
      </c>
      <c r="G212">
        <v>20000</v>
      </c>
      <c r="H212">
        <v>0</v>
      </c>
      <c r="I212">
        <v>140000</v>
      </c>
      <c r="J212">
        <v>0</v>
      </c>
      <c r="K212">
        <v>140000</v>
      </c>
      <c r="L212">
        <f t="shared" si="3"/>
        <v>28000</v>
      </c>
    </row>
    <row r="213" spans="1:12">
      <c r="A213">
        <v>1212</v>
      </c>
      <c r="B213" t="s">
        <v>214</v>
      </c>
      <c r="C213" t="s">
        <v>70</v>
      </c>
      <c r="D213" t="s">
        <v>47</v>
      </c>
      <c r="E213" t="s">
        <v>75</v>
      </c>
      <c r="F213">
        <v>3</v>
      </c>
      <c r="G213">
        <v>2500</v>
      </c>
      <c r="H213">
        <v>15</v>
      </c>
      <c r="I213">
        <v>7500</v>
      </c>
      <c r="J213">
        <v>1125</v>
      </c>
      <c r="K213">
        <v>6375</v>
      </c>
      <c r="L213">
        <f t="shared" si="3"/>
        <v>1275</v>
      </c>
    </row>
    <row r="214" spans="1:12">
      <c r="A214">
        <v>1213</v>
      </c>
      <c r="B214" t="s">
        <v>215</v>
      </c>
      <c r="C214" t="s">
        <v>21</v>
      </c>
      <c r="D214" t="s">
        <v>47</v>
      </c>
      <c r="E214" t="s">
        <v>71</v>
      </c>
      <c r="F214">
        <v>3</v>
      </c>
      <c r="G214">
        <v>5000</v>
      </c>
      <c r="H214">
        <v>2</v>
      </c>
      <c r="I214">
        <v>15000</v>
      </c>
      <c r="J214">
        <v>300</v>
      </c>
      <c r="K214">
        <v>14700</v>
      </c>
      <c r="L214">
        <f t="shared" si="3"/>
        <v>2940</v>
      </c>
    </row>
    <row r="215" spans="1:12">
      <c r="A215">
        <v>1214</v>
      </c>
      <c r="B215" t="s">
        <v>175</v>
      </c>
      <c r="C215" t="s">
        <v>46</v>
      </c>
      <c r="D215" t="s">
        <v>47</v>
      </c>
      <c r="E215" t="s">
        <v>71</v>
      </c>
      <c r="F215">
        <v>10</v>
      </c>
      <c r="G215">
        <v>20000</v>
      </c>
      <c r="H215">
        <v>0</v>
      </c>
      <c r="I215">
        <v>200000</v>
      </c>
      <c r="J215">
        <v>0</v>
      </c>
      <c r="K215">
        <v>200000</v>
      </c>
      <c r="L215">
        <f t="shared" si="3"/>
        <v>40000</v>
      </c>
    </row>
    <row r="216" spans="1:12">
      <c r="A216">
        <v>1215</v>
      </c>
      <c r="B216" t="s">
        <v>216</v>
      </c>
      <c r="C216" t="s">
        <v>28</v>
      </c>
      <c r="D216" t="s">
        <v>32</v>
      </c>
      <c r="E216" t="s">
        <v>51</v>
      </c>
      <c r="F216">
        <v>9</v>
      </c>
      <c r="G216">
        <v>1200</v>
      </c>
      <c r="H216">
        <v>10</v>
      </c>
      <c r="I216">
        <v>10800</v>
      </c>
      <c r="J216">
        <v>1080</v>
      </c>
      <c r="K216">
        <v>9720</v>
      </c>
      <c r="L216">
        <f t="shared" si="3"/>
        <v>1944</v>
      </c>
    </row>
    <row r="217" spans="1:12">
      <c r="A217">
        <v>1216</v>
      </c>
      <c r="B217" t="s">
        <v>217</v>
      </c>
      <c r="C217" t="s">
        <v>66</v>
      </c>
      <c r="D217" t="s">
        <v>32</v>
      </c>
      <c r="E217" t="s">
        <v>41</v>
      </c>
      <c r="F217">
        <v>1</v>
      </c>
      <c r="G217">
        <v>2500</v>
      </c>
      <c r="H217">
        <v>2</v>
      </c>
      <c r="I217">
        <v>2500</v>
      </c>
      <c r="J217">
        <v>50</v>
      </c>
      <c r="K217">
        <v>2450</v>
      </c>
      <c r="L217">
        <f t="shared" si="3"/>
        <v>490</v>
      </c>
    </row>
    <row r="218" spans="1:12">
      <c r="A218">
        <v>1217</v>
      </c>
      <c r="B218" t="s">
        <v>37</v>
      </c>
      <c r="C218" t="s">
        <v>21</v>
      </c>
      <c r="D218" t="s">
        <v>6</v>
      </c>
      <c r="E218" t="s">
        <v>22</v>
      </c>
      <c r="F218">
        <v>8</v>
      </c>
      <c r="G218">
        <v>50000</v>
      </c>
      <c r="H218">
        <v>0</v>
      </c>
      <c r="I218">
        <v>400000</v>
      </c>
      <c r="J218">
        <v>0</v>
      </c>
      <c r="K218">
        <v>400000</v>
      </c>
      <c r="L218">
        <f t="shared" si="3"/>
        <v>80000</v>
      </c>
    </row>
    <row r="219" spans="1:12">
      <c r="A219">
        <v>1218</v>
      </c>
      <c r="B219" t="s">
        <v>129</v>
      </c>
      <c r="C219" t="s">
        <v>50</v>
      </c>
      <c r="D219" t="s">
        <v>32</v>
      </c>
      <c r="E219" t="s">
        <v>41</v>
      </c>
      <c r="F219">
        <v>1</v>
      </c>
      <c r="G219">
        <v>2500</v>
      </c>
      <c r="H219">
        <v>0</v>
      </c>
      <c r="I219">
        <v>2500</v>
      </c>
      <c r="J219">
        <v>0</v>
      </c>
      <c r="K219">
        <v>2500</v>
      </c>
      <c r="L219">
        <f t="shared" si="3"/>
        <v>500</v>
      </c>
    </row>
    <row r="220" spans="1:12">
      <c r="A220">
        <v>1219</v>
      </c>
      <c r="B220" t="s">
        <v>133</v>
      </c>
      <c r="C220" t="s">
        <v>28</v>
      </c>
      <c r="D220" t="s">
        <v>32</v>
      </c>
      <c r="E220" t="s">
        <v>51</v>
      </c>
      <c r="F220">
        <v>10</v>
      </c>
      <c r="G220">
        <v>50000</v>
      </c>
      <c r="H220">
        <v>10</v>
      </c>
      <c r="I220">
        <v>500000</v>
      </c>
      <c r="J220">
        <v>50000</v>
      </c>
      <c r="K220">
        <v>450000</v>
      </c>
      <c r="L220">
        <f t="shared" si="3"/>
        <v>90000</v>
      </c>
    </row>
    <row r="221" spans="1:12">
      <c r="A221">
        <v>1220</v>
      </c>
      <c r="B221" t="s">
        <v>218</v>
      </c>
      <c r="C221" t="s">
        <v>70</v>
      </c>
      <c r="D221" t="s">
        <v>6</v>
      </c>
      <c r="E221" t="s">
        <v>29</v>
      </c>
      <c r="F221">
        <v>4</v>
      </c>
      <c r="G221">
        <v>10000</v>
      </c>
      <c r="H221">
        <v>15</v>
      </c>
      <c r="I221">
        <v>40000</v>
      </c>
      <c r="J221">
        <v>6000</v>
      </c>
      <c r="K221">
        <v>34000</v>
      </c>
      <c r="L221">
        <f t="shared" si="3"/>
        <v>6800</v>
      </c>
    </row>
    <row r="222" spans="1:12">
      <c r="A222">
        <v>1221</v>
      </c>
      <c r="B222" t="s">
        <v>219</v>
      </c>
      <c r="C222" t="s">
        <v>50</v>
      </c>
      <c r="D222" t="s">
        <v>6</v>
      </c>
      <c r="E222" t="s">
        <v>22</v>
      </c>
      <c r="F222">
        <v>8</v>
      </c>
      <c r="G222">
        <v>5000</v>
      </c>
      <c r="H222">
        <v>5</v>
      </c>
      <c r="I222">
        <v>40000</v>
      </c>
      <c r="J222">
        <v>2000</v>
      </c>
      <c r="K222">
        <v>38000</v>
      </c>
      <c r="L222">
        <f t="shared" si="3"/>
        <v>7600</v>
      </c>
    </row>
    <row r="223" spans="1:12">
      <c r="A223">
        <v>1222</v>
      </c>
      <c r="B223" t="s">
        <v>149</v>
      </c>
      <c r="C223" t="s">
        <v>25</v>
      </c>
      <c r="D223" t="s">
        <v>47</v>
      </c>
      <c r="E223" t="s">
        <v>48</v>
      </c>
      <c r="F223">
        <v>7</v>
      </c>
      <c r="G223">
        <v>1200</v>
      </c>
      <c r="H223">
        <v>5</v>
      </c>
      <c r="I223">
        <v>8400</v>
      </c>
      <c r="J223">
        <v>420</v>
      </c>
      <c r="K223">
        <v>7980</v>
      </c>
      <c r="L223">
        <f t="shared" si="3"/>
        <v>1596</v>
      </c>
    </row>
    <row r="224" spans="1:12">
      <c r="A224">
        <v>1223</v>
      </c>
      <c r="B224" t="s">
        <v>220</v>
      </c>
      <c r="C224" t="s">
        <v>21</v>
      </c>
      <c r="D224" t="s">
        <v>32</v>
      </c>
      <c r="E224" t="s">
        <v>33</v>
      </c>
      <c r="F224">
        <v>8</v>
      </c>
      <c r="G224">
        <v>800</v>
      </c>
      <c r="H224">
        <v>15</v>
      </c>
      <c r="I224">
        <v>6400</v>
      </c>
      <c r="J224">
        <v>960</v>
      </c>
      <c r="K224">
        <v>5440</v>
      </c>
      <c r="L224">
        <f t="shared" si="3"/>
        <v>1088</v>
      </c>
    </row>
    <row r="225" spans="1:12">
      <c r="A225">
        <v>1224</v>
      </c>
      <c r="B225" t="s">
        <v>221</v>
      </c>
      <c r="C225" t="s">
        <v>70</v>
      </c>
      <c r="D225" t="s">
        <v>6</v>
      </c>
      <c r="E225" t="s">
        <v>9</v>
      </c>
      <c r="F225">
        <v>9</v>
      </c>
      <c r="G225">
        <v>5000</v>
      </c>
      <c r="H225">
        <v>5</v>
      </c>
      <c r="I225">
        <v>45000</v>
      </c>
      <c r="J225">
        <v>2250</v>
      </c>
      <c r="K225">
        <v>42750</v>
      </c>
      <c r="L225">
        <f t="shared" si="3"/>
        <v>8550</v>
      </c>
    </row>
    <row r="226" spans="1:12">
      <c r="A226">
        <v>1225</v>
      </c>
      <c r="B226" t="s">
        <v>222</v>
      </c>
      <c r="C226" t="s">
        <v>21</v>
      </c>
      <c r="D226" t="s">
        <v>6</v>
      </c>
      <c r="E226" t="s">
        <v>9</v>
      </c>
      <c r="F226">
        <v>1</v>
      </c>
      <c r="G226">
        <v>500</v>
      </c>
      <c r="H226">
        <v>10</v>
      </c>
      <c r="I226">
        <v>500</v>
      </c>
      <c r="J226">
        <v>50</v>
      </c>
      <c r="K226">
        <v>450</v>
      </c>
      <c r="L226">
        <f t="shared" si="3"/>
        <v>90</v>
      </c>
    </row>
    <row r="227" spans="1:12">
      <c r="A227">
        <v>1226</v>
      </c>
      <c r="B227" t="s">
        <v>223</v>
      </c>
      <c r="C227" t="s">
        <v>46</v>
      </c>
      <c r="D227" t="s">
        <v>6</v>
      </c>
      <c r="E227" t="s">
        <v>29</v>
      </c>
      <c r="F227">
        <v>1</v>
      </c>
      <c r="G227">
        <v>20000</v>
      </c>
      <c r="H227">
        <v>15</v>
      </c>
      <c r="I227">
        <v>20000</v>
      </c>
      <c r="J227">
        <v>3000</v>
      </c>
      <c r="K227">
        <v>17000</v>
      </c>
      <c r="L227">
        <f t="shared" si="3"/>
        <v>3400</v>
      </c>
    </row>
    <row r="228" spans="1:12">
      <c r="A228">
        <v>1227</v>
      </c>
      <c r="B228" t="s">
        <v>224</v>
      </c>
      <c r="C228" t="s">
        <v>50</v>
      </c>
      <c r="D228" t="s">
        <v>6</v>
      </c>
      <c r="E228" t="s">
        <v>29</v>
      </c>
      <c r="F228">
        <v>10</v>
      </c>
      <c r="G228">
        <v>1200</v>
      </c>
      <c r="H228">
        <v>15</v>
      </c>
      <c r="I228">
        <v>12000</v>
      </c>
      <c r="J228">
        <v>1800</v>
      </c>
      <c r="K228">
        <v>10200</v>
      </c>
      <c r="L228">
        <f t="shared" si="3"/>
        <v>2040</v>
      </c>
    </row>
    <row r="229" spans="1:12">
      <c r="A229">
        <v>1228</v>
      </c>
      <c r="B229" t="s">
        <v>99</v>
      </c>
      <c r="C229" t="s">
        <v>66</v>
      </c>
      <c r="D229" t="s">
        <v>6</v>
      </c>
      <c r="E229" t="s">
        <v>9</v>
      </c>
      <c r="F229">
        <v>7</v>
      </c>
      <c r="G229">
        <v>2500</v>
      </c>
      <c r="H229">
        <v>2</v>
      </c>
      <c r="I229">
        <v>17500</v>
      </c>
      <c r="J229">
        <v>350</v>
      </c>
      <c r="K229">
        <v>17150</v>
      </c>
      <c r="L229">
        <f t="shared" si="3"/>
        <v>3430</v>
      </c>
    </row>
    <row r="230" spans="1:12">
      <c r="A230">
        <v>1229</v>
      </c>
      <c r="B230" t="s">
        <v>137</v>
      </c>
      <c r="C230" t="s">
        <v>25</v>
      </c>
      <c r="D230" t="s">
        <v>32</v>
      </c>
      <c r="E230" t="s">
        <v>51</v>
      </c>
      <c r="F230">
        <v>7</v>
      </c>
      <c r="G230">
        <v>800</v>
      </c>
      <c r="H230">
        <v>2</v>
      </c>
      <c r="I230">
        <v>5600</v>
      </c>
      <c r="J230">
        <v>112</v>
      </c>
      <c r="K230">
        <v>5488</v>
      </c>
      <c r="L230">
        <f t="shared" si="3"/>
        <v>1097.6000000000001</v>
      </c>
    </row>
    <row r="231" spans="1:12">
      <c r="A231">
        <v>1230</v>
      </c>
      <c r="B231" t="s">
        <v>225</v>
      </c>
      <c r="C231" t="s">
        <v>38</v>
      </c>
      <c r="D231" t="s">
        <v>6</v>
      </c>
      <c r="E231" t="s">
        <v>29</v>
      </c>
      <c r="F231">
        <v>1</v>
      </c>
      <c r="G231">
        <v>2500</v>
      </c>
      <c r="H231">
        <v>15</v>
      </c>
      <c r="I231">
        <v>2500</v>
      </c>
      <c r="J231">
        <v>375</v>
      </c>
      <c r="K231">
        <v>2125</v>
      </c>
      <c r="L231">
        <f t="shared" si="3"/>
        <v>425</v>
      </c>
    </row>
    <row r="232" spans="1:12">
      <c r="A232">
        <v>1231</v>
      </c>
      <c r="B232" t="s">
        <v>226</v>
      </c>
      <c r="C232" t="s">
        <v>50</v>
      </c>
      <c r="D232" t="s">
        <v>6</v>
      </c>
      <c r="E232" t="s">
        <v>9</v>
      </c>
      <c r="F232">
        <v>1</v>
      </c>
      <c r="G232">
        <v>800</v>
      </c>
      <c r="H232">
        <v>10</v>
      </c>
      <c r="I232">
        <v>800</v>
      </c>
      <c r="J232">
        <v>80</v>
      </c>
      <c r="K232">
        <v>720</v>
      </c>
      <c r="L232">
        <f t="shared" si="3"/>
        <v>144</v>
      </c>
    </row>
    <row r="233" spans="1:12">
      <c r="A233">
        <v>1232</v>
      </c>
      <c r="B233" t="s">
        <v>227</v>
      </c>
      <c r="C233" t="s">
        <v>38</v>
      </c>
      <c r="D233" t="s">
        <v>32</v>
      </c>
      <c r="E233" t="s">
        <v>41</v>
      </c>
      <c r="F233">
        <v>8</v>
      </c>
      <c r="G233">
        <v>10000</v>
      </c>
      <c r="H233">
        <v>5</v>
      </c>
      <c r="I233">
        <v>80000</v>
      </c>
      <c r="J233">
        <v>4000</v>
      </c>
      <c r="K233">
        <v>76000</v>
      </c>
      <c r="L233">
        <f t="shared" si="3"/>
        <v>15200</v>
      </c>
    </row>
    <row r="234" spans="1:12">
      <c r="A234">
        <v>1233</v>
      </c>
      <c r="B234" t="s">
        <v>228</v>
      </c>
      <c r="C234" t="s">
        <v>58</v>
      </c>
      <c r="D234" t="s">
        <v>32</v>
      </c>
      <c r="E234" t="s">
        <v>51</v>
      </c>
      <c r="F234">
        <v>2</v>
      </c>
      <c r="G234">
        <v>50000</v>
      </c>
      <c r="H234">
        <v>5</v>
      </c>
      <c r="I234">
        <v>100000</v>
      </c>
      <c r="J234">
        <v>5000</v>
      </c>
      <c r="K234">
        <v>95000</v>
      </c>
      <c r="L234">
        <f t="shared" si="3"/>
        <v>19000</v>
      </c>
    </row>
    <row r="235" spans="1:12">
      <c r="A235">
        <v>1234</v>
      </c>
      <c r="B235" t="s">
        <v>202</v>
      </c>
      <c r="C235" t="s">
        <v>38</v>
      </c>
      <c r="D235" t="s">
        <v>47</v>
      </c>
      <c r="E235" t="s">
        <v>48</v>
      </c>
      <c r="F235">
        <v>6</v>
      </c>
      <c r="G235">
        <v>800</v>
      </c>
      <c r="H235">
        <v>15</v>
      </c>
      <c r="I235">
        <v>4800</v>
      </c>
      <c r="J235">
        <v>720</v>
      </c>
      <c r="K235">
        <v>4080</v>
      </c>
      <c r="L235">
        <f t="shared" si="3"/>
        <v>816</v>
      </c>
    </row>
    <row r="236" spans="1:12">
      <c r="A236">
        <v>1235</v>
      </c>
      <c r="B236" t="s">
        <v>229</v>
      </c>
      <c r="C236" t="s">
        <v>56</v>
      </c>
      <c r="D236" t="s">
        <v>6</v>
      </c>
      <c r="E236" t="s">
        <v>22</v>
      </c>
      <c r="F236">
        <v>9</v>
      </c>
      <c r="G236">
        <v>500</v>
      </c>
      <c r="H236">
        <v>15</v>
      </c>
      <c r="I236">
        <v>4500</v>
      </c>
      <c r="J236">
        <v>675</v>
      </c>
      <c r="K236">
        <v>3825</v>
      </c>
      <c r="L236">
        <f t="shared" si="3"/>
        <v>765</v>
      </c>
    </row>
    <row r="237" spans="1:12">
      <c r="A237">
        <v>1236</v>
      </c>
      <c r="B237" t="s">
        <v>230</v>
      </c>
      <c r="C237" t="s">
        <v>58</v>
      </c>
      <c r="D237" t="s">
        <v>6</v>
      </c>
      <c r="E237" t="s">
        <v>29</v>
      </c>
      <c r="F237">
        <v>6</v>
      </c>
      <c r="G237">
        <v>50000</v>
      </c>
      <c r="H237">
        <v>2</v>
      </c>
      <c r="I237">
        <v>300000</v>
      </c>
      <c r="J237">
        <v>6000</v>
      </c>
      <c r="K237">
        <v>294000</v>
      </c>
      <c r="L237">
        <f t="shared" si="3"/>
        <v>58800</v>
      </c>
    </row>
    <row r="238" spans="1:12">
      <c r="A238">
        <v>1237</v>
      </c>
      <c r="B238" t="s">
        <v>195</v>
      </c>
      <c r="C238" t="s">
        <v>46</v>
      </c>
      <c r="D238" t="s">
        <v>47</v>
      </c>
      <c r="E238" t="s">
        <v>71</v>
      </c>
      <c r="F238">
        <v>9</v>
      </c>
      <c r="G238">
        <v>50000</v>
      </c>
      <c r="H238">
        <v>0</v>
      </c>
      <c r="I238">
        <v>450000</v>
      </c>
      <c r="J238">
        <v>0</v>
      </c>
      <c r="K238">
        <v>450000</v>
      </c>
      <c r="L238">
        <f t="shared" si="3"/>
        <v>90000</v>
      </c>
    </row>
    <row r="239" spans="1:12">
      <c r="A239">
        <v>1238</v>
      </c>
      <c r="B239" t="s">
        <v>231</v>
      </c>
      <c r="C239" t="s">
        <v>66</v>
      </c>
      <c r="D239" t="s">
        <v>32</v>
      </c>
      <c r="E239" t="s">
        <v>33</v>
      </c>
      <c r="F239">
        <v>7</v>
      </c>
      <c r="G239">
        <v>10000</v>
      </c>
      <c r="H239">
        <v>10</v>
      </c>
      <c r="I239">
        <v>70000</v>
      </c>
      <c r="J239">
        <v>7000</v>
      </c>
      <c r="K239">
        <v>63000</v>
      </c>
      <c r="L239">
        <f t="shared" si="3"/>
        <v>12600</v>
      </c>
    </row>
    <row r="240" spans="1:12">
      <c r="A240">
        <v>1239</v>
      </c>
      <c r="B240" t="s">
        <v>102</v>
      </c>
      <c r="C240" t="s">
        <v>50</v>
      </c>
      <c r="D240" t="s">
        <v>6</v>
      </c>
      <c r="E240" t="s">
        <v>22</v>
      </c>
      <c r="F240">
        <v>6</v>
      </c>
      <c r="G240">
        <v>1200</v>
      </c>
      <c r="H240">
        <v>0</v>
      </c>
      <c r="I240">
        <v>7200</v>
      </c>
      <c r="J240">
        <v>0</v>
      </c>
      <c r="K240">
        <v>7200</v>
      </c>
      <c r="L240">
        <f t="shared" si="3"/>
        <v>1440</v>
      </c>
    </row>
    <row r="241" spans="1:12">
      <c r="A241">
        <v>1240</v>
      </c>
      <c r="B241" t="s">
        <v>232</v>
      </c>
      <c r="C241" t="s">
        <v>58</v>
      </c>
      <c r="D241" t="s">
        <v>32</v>
      </c>
      <c r="E241" t="s">
        <v>51</v>
      </c>
      <c r="F241">
        <v>6</v>
      </c>
      <c r="G241">
        <v>800</v>
      </c>
      <c r="H241">
        <v>2</v>
      </c>
      <c r="I241">
        <v>4800</v>
      </c>
      <c r="J241">
        <v>96</v>
      </c>
      <c r="K241">
        <v>4704</v>
      </c>
      <c r="L241">
        <f t="shared" si="3"/>
        <v>940.80000000000007</v>
      </c>
    </row>
    <row r="242" spans="1:12">
      <c r="A242">
        <v>1241</v>
      </c>
      <c r="B242" t="s">
        <v>233</v>
      </c>
      <c r="C242" t="s">
        <v>21</v>
      </c>
      <c r="D242" t="s">
        <v>47</v>
      </c>
      <c r="E242" t="s">
        <v>48</v>
      </c>
      <c r="F242">
        <v>9</v>
      </c>
      <c r="G242">
        <v>50000</v>
      </c>
      <c r="H242">
        <v>5</v>
      </c>
      <c r="I242">
        <v>450000</v>
      </c>
      <c r="J242">
        <v>22500</v>
      </c>
      <c r="K242">
        <v>427500</v>
      </c>
      <c r="L242">
        <f t="shared" si="3"/>
        <v>85500</v>
      </c>
    </row>
    <row r="243" spans="1:12">
      <c r="A243">
        <v>1242</v>
      </c>
      <c r="B243" t="s">
        <v>234</v>
      </c>
      <c r="C243" t="s">
        <v>66</v>
      </c>
      <c r="D243" t="s">
        <v>6</v>
      </c>
      <c r="E243" t="s">
        <v>29</v>
      </c>
      <c r="F243">
        <v>7</v>
      </c>
      <c r="G243">
        <v>5000</v>
      </c>
      <c r="H243">
        <v>15</v>
      </c>
      <c r="I243">
        <v>35000</v>
      </c>
      <c r="J243">
        <v>5250</v>
      </c>
      <c r="K243">
        <v>29750</v>
      </c>
      <c r="L243">
        <f t="shared" si="3"/>
        <v>5950</v>
      </c>
    </row>
    <row r="244" spans="1:12">
      <c r="A244">
        <v>1243</v>
      </c>
      <c r="B244" t="s">
        <v>235</v>
      </c>
      <c r="C244" t="s">
        <v>21</v>
      </c>
      <c r="D244" t="s">
        <v>47</v>
      </c>
      <c r="E244" t="s">
        <v>48</v>
      </c>
      <c r="F244">
        <v>4</v>
      </c>
      <c r="G244">
        <v>5000</v>
      </c>
      <c r="H244">
        <v>15</v>
      </c>
      <c r="I244">
        <v>20000</v>
      </c>
      <c r="J244">
        <v>3000</v>
      </c>
      <c r="K244">
        <v>17000</v>
      </c>
      <c r="L244">
        <f t="shared" si="3"/>
        <v>3400</v>
      </c>
    </row>
    <row r="245" spans="1:12">
      <c r="A245">
        <v>1244</v>
      </c>
      <c r="B245" t="s">
        <v>236</v>
      </c>
      <c r="C245" t="s">
        <v>25</v>
      </c>
      <c r="D245" t="s">
        <v>6</v>
      </c>
      <c r="E245" t="s">
        <v>9</v>
      </c>
      <c r="F245">
        <v>9</v>
      </c>
      <c r="G245">
        <v>1200</v>
      </c>
      <c r="H245">
        <v>2</v>
      </c>
      <c r="I245">
        <v>10800</v>
      </c>
      <c r="J245">
        <v>216</v>
      </c>
      <c r="K245">
        <v>10584</v>
      </c>
      <c r="L245">
        <f t="shared" si="3"/>
        <v>2116.8000000000002</v>
      </c>
    </row>
    <row r="246" spans="1:12">
      <c r="A246">
        <v>1245</v>
      </c>
      <c r="B246" t="s">
        <v>237</v>
      </c>
      <c r="C246" t="s">
        <v>56</v>
      </c>
      <c r="D246" t="s">
        <v>47</v>
      </c>
      <c r="E246" t="s">
        <v>71</v>
      </c>
      <c r="F246">
        <v>9</v>
      </c>
      <c r="G246">
        <v>10000</v>
      </c>
      <c r="H246">
        <v>10</v>
      </c>
      <c r="I246">
        <v>90000</v>
      </c>
      <c r="J246">
        <v>9000</v>
      </c>
      <c r="K246">
        <v>81000</v>
      </c>
      <c r="L246">
        <f t="shared" si="3"/>
        <v>16200</v>
      </c>
    </row>
    <row r="247" spans="1:12">
      <c r="A247">
        <v>1246</v>
      </c>
      <c r="B247" t="s">
        <v>238</v>
      </c>
      <c r="C247" t="s">
        <v>58</v>
      </c>
      <c r="D247" t="s">
        <v>47</v>
      </c>
      <c r="E247" t="s">
        <v>48</v>
      </c>
      <c r="F247">
        <v>6</v>
      </c>
      <c r="G247">
        <v>50000</v>
      </c>
      <c r="H247">
        <v>2</v>
      </c>
      <c r="I247">
        <v>300000</v>
      </c>
      <c r="J247">
        <v>6000</v>
      </c>
      <c r="K247">
        <v>294000</v>
      </c>
      <c r="L247">
        <f t="shared" si="3"/>
        <v>58800</v>
      </c>
    </row>
    <row r="248" spans="1:12">
      <c r="A248">
        <v>1247</v>
      </c>
      <c r="B248" t="s">
        <v>239</v>
      </c>
      <c r="C248" t="s">
        <v>70</v>
      </c>
      <c r="D248" t="s">
        <v>32</v>
      </c>
      <c r="E248" t="s">
        <v>33</v>
      </c>
      <c r="F248">
        <v>7</v>
      </c>
      <c r="G248">
        <v>20000</v>
      </c>
      <c r="H248">
        <v>10</v>
      </c>
      <c r="I248">
        <v>140000</v>
      </c>
      <c r="J248">
        <v>14000</v>
      </c>
      <c r="K248">
        <v>126000</v>
      </c>
      <c r="L248">
        <f t="shared" si="3"/>
        <v>25200</v>
      </c>
    </row>
    <row r="249" spans="1:12">
      <c r="A249">
        <v>1248</v>
      </c>
      <c r="B249" t="s">
        <v>162</v>
      </c>
      <c r="C249" t="s">
        <v>66</v>
      </c>
      <c r="D249" t="s">
        <v>47</v>
      </c>
      <c r="E249" t="s">
        <v>71</v>
      </c>
      <c r="F249">
        <v>4</v>
      </c>
      <c r="G249">
        <v>20000</v>
      </c>
      <c r="H249">
        <v>5</v>
      </c>
      <c r="I249">
        <v>80000</v>
      </c>
      <c r="J249">
        <v>4000</v>
      </c>
      <c r="K249">
        <v>76000</v>
      </c>
      <c r="L249">
        <f t="shared" si="3"/>
        <v>15200</v>
      </c>
    </row>
    <row r="250" spans="1:12">
      <c r="A250">
        <v>1249</v>
      </c>
      <c r="B250" t="s">
        <v>240</v>
      </c>
      <c r="C250" t="s">
        <v>25</v>
      </c>
      <c r="D250" t="s">
        <v>32</v>
      </c>
      <c r="E250" t="s">
        <v>41</v>
      </c>
      <c r="F250">
        <v>4</v>
      </c>
      <c r="G250">
        <v>20000</v>
      </c>
      <c r="H250">
        <v>5</v>
      </c>
      <c r="I250">
        <v>80000</v>
      </c>
      <c r="J250">
        <v>4000</v>
      </c>
      <c r="K250">
        <v>76000</v>
      </c>
      <c r="L250">
        <f t="shared" si="3"/>
        <v>15200</v>
      </c>
    </row>
    <row r="251" spans="1:12">
      <c r="A251">
        <v>1250</v>
      </c>
      <c r="B251" t="s">
        <v>241</v>
      </c>
      <c r="C251" t="s">
        <v>50</v>
      </c>
      <c r="D251" t="s">
        <v>6</v>
      </c>
      <c r="E251" t="s">
        <v>9</v>
      </c>
      <c r="F251">
        <v>10</v>
      </c>
      <c r="G251">
        <v>10000</v>
      </c>
      <c r="H251">
        <v>0</v>
      </c>
      <c r="I251">
        <v>100000</v>
      </c>
      <c r="J251">
        <v>0</v>
      </c>
      <c r="K251">
        <v>100000</v>
      </c>
      <c r="L251">
        <f t="shared" si="3"/>
        <v>20000</v>
      </c>
    </row>
    <row r="252" spans="1:12">
      <c r="A252">
        <v>1251</v>
      </c>
      <c r="B252" t="s">
        <v>242</v>
      </c>
      <c r="C252" t="s">
        <v>56</v>
      </c>
      <c r="D252" t="s">
        <v>6</v>
      </c>
      <c r="E252" t="s">
        <v>22</v>
      </c>
      <c r="F252">
        <v>5</v>
      </c>
      <c r="G252">
        <v>2500</v>
      </c>
      <c r="H252">
        <v>5</v>
      </c>
      <c r="I252">
        <v>12500</v>
      </c>
      <c r="J252">
        <v>625</v>
      </c>
      <c r="K252">
        <v>11875</v>
      </c>
      <c r="L252">
        <f t="shared" si="3"/>
        <v>2375</v>
      </c>
    </row>
    <row r="253" spans="1:12">
      <c r="A253">
        <v>1252</v>
      </c>
      <c r="B253" t="s">
        <v>243</v>
      </c>
      <c r="C253" t="s">
        <v>70</v>
      </c>
      <c r="D253" t="s">
        <v>47</v>
      </c>
      <c r="E253" t="s">
        <v>71</v>
      </c>
      <c r="F253">
        <v>6</v>
      </c>
      <c r="G253">
        <v>50000</v>
      </c>
      <c r="H253">
        <v>10</v>
      </c>
      <c r="I253">
        <v>300000</v>
      </c>
      <c r="J253">
        <v>30000</v>
      </c>
      <c r="K253">
        <v>270000</v>
      </c>
      <c r="L253">
        <f t="shared" si="3"/>
        <v>54000</v>
      </c>
    </row>
    <row r="254" spans="1:12">
      <c r="A254">
        <v>1253</v>
      </c>
      <c r="B254" t="s">
        <v>98</v>
      </c>
      <c r="C254" t="s">
        <v>21</v>
      </c>
      <c r="D254" t="s">
        <v>32</v>
      </c>
      <c r="E254" t="s">
        <v>41</v>
      </c>
      <c r="F254">
        <v>2</v>
      </c>
      <c r="G254">
        <v>1200</v>
      </c>
      <c r="H254">
        <v>2</v>
      </c>
      <c r="I254">
        <v>2400</v>
      </c>
      <c r="J254">
        <v>48</v>
      </c>
      <c r="K254">
        <v>2352</v>
      </c>
      <c r="L254">
        <f t="shared" si="3"/>
        <v>470.40000000000003</v>
      </c>
    </row>
    <row r="255" spans="1:12">
      <c r="A255">
        <v>1254</v>
      </c>
      <c r="B255" t="s">
        <v>244</v>
      </c>
      <c r="C255" t="s">
        <v>25</v>
      </c>
      <c r="D255" t="s">
        <v>6</v>
      </c>
      <c r="E255" t="s">
        <v>29</v>
      </c>
      <c r="F255">
        <v>7</v>
      </c>
      <c r="G255">
        <v>1200</v>
      </c>
      <c r="H255">
        <v>2</v>
      </c>
      <c r="I255">
        <v>8400</v>
      </c>
      <c r="J255">
        <v>168</v>
      </c>
      <c r="K255">
        <v>8232</v>
      </c>
      <c r="L255">
        <f t="shared" si="3"/>
        <v>1646.4</v>
      </c>
    </row>
    <row r="256" spans="1:12">
      <c r="A256">
        <v>1255</v>
      </c>
      <c r="B256" t="s">
        <v>112</v>
      </c>
      <c r="C256" t="s">
        <v>66</v>
      </c>
      <c r="D256" t="s">
        <v>6</v>
      </c>
      <c r="E256" t="s">
        <v>9</v>
      </c>
      <c r="F256">
        <v>7</v>
      </c>
      <c r="G256">
        <v>2500</v>
      </c>
      <c r="H256">
        <v>2</v>
      </c>
      <c r="I256">
        <v>17500</v>
      </c>
      <c r="J256">
        <v>350</v>
      </c>
      <c r="K256">
        <v>17150</v>
      </c>
      <c r="L256">
        <f t="shared" si="3"/>
        <v>3430</v>
      </c>
    </row>
    <row r="257" spans="1:12">
      <c r="A257">
        <v>1256</v>
      </c>
      <c r="B257" t="s">
        <v>147</v>
      </c>
      <c r="C257" t="s">
        <v>46</v>
      </c>
      <c r="D257" t="s">
        <v>47</v>
      </c>
      <c r="E257" t="s">
        <v>75</v>
      </c>
      <c r="F257">
        <v>4</v>
      </c>
      <c r="G257">
        <v>5000</v>
      </c>
      <c r="H257">
        <v>2</v>
      </c>
      <c r="I257">
        <v>20000</v>
      </c>
      <c r="J257">
        <v>400</v>
      </c>
      <c r="K257">
        <v>19600</v>
      </c>
      <c r="L257">
        <f t="shared" si="3"/>
        <v>3920</v>
      </c>
    </row>
    <row r="258" spans="1:12">
      <c r="A258">
        <v>1257</v>
      </c>
      <c r="B258" t="s">
        <v>208</v>
      </c>
      <c r="C258" t="s">
        <v>58</v>
      </c>
      <c r="D258" t="s">
        <v>47</v>
      </c>
      <c r="E258" t="s">
        <v>48</v>
      </c>
      <c r="F258">
        <v>9</v>
      </c>
      <c r="G258">
        <v>2500</v>
      </c>
      <c r="H258">
        <v>0</v>
      </c>
      <c r="I258">
        <v>22500</v>
      </c>
      <c r="J258">
        <v>0</v>
      </c>
      <c r="K258">
        <v>22500</v>
      </c>
      <c r="L258">
        <f t="shared" ref="L258:L321" si="4">K258*20%</f>
        <v>4500</v>
      </c>
    </row>
    <row r="259" spans="1:12">
      <c r="A259">
        <v>1258</v>
      </c>
      <c r="B259" t="s">
        <v>245</v>
      </c>
      <c r="C259" t="s">
        <v>28</v>
      </c>
      <c r="D259" t="s">
        <v>32</v>
      </c>
      <c r="E259" t="s">
        <v>51</v>
      </c>
      <c r="F259">
        <v>10</v>
      </c>
      <c r="G259">
        <v>2500</v>
      </c>
      <c r="H259">
        <v>15</v>
      </c>
      <c r="I259">
        <v>25000</v>
      </c>
      <c r="J259">
        <v>3750</v>
      </c>
      <c r="K259">
        <v>21250</v>
      </c>
      <c r="L259">
        <f t="shared" si="4"/>
        <v>4250</v>
      </c>
    </row>
    <row r="260" spans="1:12">
      <c r="A260">
        <v>1259</v>
      </c>
      <c r="B260" t="s">
        <v>190</v>
      </c>
      <c r="C260" t="s">
        <v>50</v>
      </c>
      <c r="D260" t="s">
        <v>47</v>
      </c>
      <c r="E260" t="s">
        <v>75</v>
      </c>
      <c r="F260">
        <v>8</v>
      </c>
      <c r="G260">
        <v>5000</v>
      </c>
      <c r="H260">
        <v>0</v>
      </c>
      <c r="I260">
        <v>40000</v>
      </c>
      <c r="J260">
        <v>0</v>
      </c>
      <c r="K260">
        <v>40000</v>
      </c>
      <c r="L260">
        <f t="shared" si="4"/>
        <v>8000</v>
      </c>
    </row>
    <row r="261" spans="1:12">
      <c r="A261">
        <v>1260</v>
      </c>
      <c r="B261" t="s">
        <v>98</v>
      </c>
      <c r="C261" t="s">
        <v>56</v>
      </c>
      <c r="D261" t="s">
        <v>6</v>
      </c>
      <c r="E261" t="s">
        <v>29</v>
      </c>
      <c r="F261">
        <v>9</v>
      </c>
      <c r="G261">
        <v>50000</v>
      </c>
      <c r="H261">
        <v>2</v>
      </c>
      <c r="I261">
        <v>450000</v>
      </c>
      <c r="J261">
        <v>9000</v>
      </c>
      <c r="K261">
        <v>441000</v>
      </c>
      <c r="L261">
        <f t="shared" si="4"/>
        <v>88200</v>
      </c>
    </row>
    <row r="262" spans="1:12">
      <c r="A262">
        <v>1261</v>
      </c>
      <c r="B262" t="s">
        <v>246</v>
      </c>
      <c r="C262" t="s">
        <v>25</v>
      </c>
      <c r="D262" t="s">
        <v>32</v>
      </c>
      <c r="E262" t="s">
        <v>41</v>
      </c>
      <c r="F262">
        <v>5</v>
      </c>
      <c r="G262">
        <v>500</v>
      </c>
      <c r="H262">
        <v>5</v>
      </c>
      <c r="I262">
        <v>2500</v>
      </c>
      <c r="J262">
        <v>125</v>
      </c>
      <c r="K262">
        <v>2375</v>
      </c>
      <c r="L262">
        <f t="shared" si="4"/>
        <v>475</v>
      </c>
    </row>
    <row r="263" spans="1:12">
      <c r="A263">
        <v>1262</v>
      </c>
      <c r="B263" t="s">
        <v>138</v>
      </c>
      <c r="C263" t="s">
        <v>58</v>
      </c>
      <c r="D263" t="s">
        <v>6</v>
      </c>
      <c r="E263" t="s">
        <v>9</v>
      </c>
      <c r="F263">
        <v>5</v>
      </c>
      <c r="G263">
        <v>5000</v>
      </c>
      <c r="H263">
        <v>15</v>
      </c>
      <c r="I263">
        <v>25000</v>
      </c>
      <c r="J263">
        <v>3750</v>
      </c>
      <c r="K263">
        <v>21250</v>
      </c>
      <c r="L263">
        <f t="shared" si="4"/>
        <v>4250</v>
      </c>
    </row>
    <row r="264" spans="1:12">
      <c r="A264">
        <v>1263</v>
      </c>
      <c r="B264" t="s">
        <v>190</v>
      </c>
      <c r="C264" t="s">
        <v>21</v>
      </c>
      <c r="D264" t="s">
        <v>47</v>
      </c>
      <c r="E264" t="s">
        <v>71</v>
      </c>
      <c r="F264">
        <v>2</v>
      </c>
      <c r="G264">
        <v>20000</v>
      </c>
      <c r="H264">
        <v>5</v>
      </c>
      <c r="I264">
        <v>40000</v>
      </c>
      <c r="J264">
        <v>2000</v>
      </c>
      <c r="K264">
        <v>38000</v>
      </c>
      <c r="L264">
        <f t="shared" si="4"/>
        <v>7600</v>
      </c>
    </row>
    <row r="265" spans="1:12">
      <c r="A265">
        <v>1264</v>
      </c>
      <c r="B265" t="s">
        <v>100</v>
      </c>
      <c r="C265" t="s">
        <v>46</v>
      </c>
      <c r="D265" t="s">
        <v>32</v>
      </c>
      <c r="E265" t="s">
        <v>33</v>
      </c>
      <c r="F265">
        <v>7</v>
      </c>
      <c r="G265">
        <v>800</v>
      </c>
      <c r="H265">
        <v>5</v>
      </c>
      <c r="I265">
        <v>5600</v>
      </c>
      <c r="J265">
        <v>280</v>
      </c>
      <c r="K265">
        <v>5320</v>
      </c>
      <c r="L265">
        <f t="shared" si="4"/>
        <v>1064</v>
      </c>
    </row>
    <row r="266" spans="1:12">
      <c r="A266">
        <v>1265</v>
      </c>
      <c r="B266" t="s">
        <v>247</v>
      </c>
      <c r="C266" t="s">
        <v>21</v>
      </c>
      <c r="D266" t="s">
        <v>47</v>
      </c>
      <c r="E266" t="s">
        <v>48</v>
      </c>
      <c r="F266">
        <v>3</v>
      </c>
      <c r="G266">
        <v>1200</v>
      </c>
      <c r="H266">
        <v>2</v>
      </c>
      <c r="I266">
        <v>3600</v>
      </c>
      <c r="J266">
        <v>72</v>
      </c>
      <c r="K266">
        <v>3528</v>
      </c>
      <c r="L266">
        <f t="shared" si="4"/>
        <v>705.6</v>
      </c>
    </row>
    <row r="267" spans="1:12">
      <c r="A267">
        <v>1266</v>
      </c>
      <c r="B267" t="s">
        <v>98</v>
      </c>
      <c r="C267" t="s">
        <v>28</v>
      </c>
      <c r="D267" t="s">
        <v>47</v>
      </c>
      <c r="E267" t="s">
        <v>75</v>
      </c>
      <c r="F267">
        <v>5</v>
      </c>
      <c r="G267">
        <v>800</v>
      </c>
      <c r="H267">
        <v>10</v>
      </c>
      <c r="I267">
        <v>4000</v>
      </c>
      <c r="J267">
        <v>400</v>
      </c>
      <c r="K267">
        <v>3600</v>
      </c>
      <c r="L267">
        <f t="shared" si="4"/>
        <v>720</v>
      </c>
    </row>
    <row r="268" spans="1:12">
      <c r="A268">
        <v>1267</v>
      </c>
      <c r="B268" t="s">
        <v>248</v>
      </c>
      <c r="C268" t="s">
        <v>56</v>
      </c>
      <c r="D268" t="s">
        <v>47</v>
      </c>
      <c r="E268" t="s">
        <v>71</v>
      </c>
      <c r="F268">
        <v>4</v>
      </c>
      <c r="G268">
        <v>50000</v>
      </c>
      <c r="H268">
        <v>15</v>
      </c>
      <c r="I268">
        <v>200000</v>
      </c>
      <c r="J268">
        <v>30000</v>
      </c>
      <c r="K268">
        <v>170000</v>
      </c>
      <c r="L268">
        <f t="shared" si="4"/>
        <v>34000</v>
      </c>
    </row>
    <row r="269" spans="1:12">
      <c r="A269">
        <v>1268</v>
      </c>
      <c r="B269" t="s">
        <v>249</v>
      </c>
      <c r="C269" t="s">
        <v>28</v>
      </c>
      <c r="D269" t="s">
        <v>47</v>
      </c>
      <c r="E269" t="s">
        <v>48</v>
      </c>
      <c r="F269">
        <v>6</v>
      </c>
      <c r="G269">
        <v>2500</v>
      </c>
      <c r="H269">
        <v>10</v>
      </c>
      <c r="I269">
        <v>15000</v>
      </c>
      <c r="J269">
        <v>1500</v>
      </c>
      <c r="K269">
        <v>13500</v>
      </c>
      <c r="L269">
        <f t="shared" si="4"/>
        <v>2700</v>
      </c>
    </row>
    <row r="270" spans="1:12">
      <c r="A270">
        <v>1269</v>
      </c>
      <c r="B270" t="s">
        <v>202</v>
      </c>
      <c r="C270" t="s">
        <v>70</v>
      </c>
      <c r="D270" t="s">
        <v>32</v>
      </c>
      <c r="E270" t="s">
        <v>51</v>
      </c>
      <c r="F270">
        <v>6</v>
      </c>
      <c r="G270">
        <v>800</v>
      </c>
      <c r="H270">
        <v>15</v>
      </c>
      <c r="I270">
        <v>4800</v>
      </c>
      <c r="J270">
        <v>720</v>
      </c>
      <c r="K270">
        <v>4080</v>
      </c>
      <c r="L270">
        <f t="shared" si="4"/>
        <v>816</v>
      </c>
    </row>
    <row r="271" spans="1:12">
      <c r="A271">
        <v>1270</v>
      </c>
      <c r="B271" t="s">
        <v>125</v>
      </c>
      <c r="C271" t="s">
        <v>38</v>
      </c>
      <c r="D271" t="s">
        <v>32</v>
      </c>
      <c r="E271" t="s">
        <v>51</v>
      </c>
      <c r="F271">
        <v>5</v>
      </c>
      <c r="G271">
        <v>2500</v>
      </c>
      <c r="H271">
        <v>5</v>
      </c>
      <c r="I271">
        <v>12500</v>
      </c>
      <c r="J271">
        <v>625</v>
      </c>
      <c r="K271">
        <v>11875</v>
      </c>
      <c r="L271">
        <f t="shared" si="4"/>
        <v>2375</v>
      </c>
    </row>
    <row r="272" spans="1:12">
      <c r="A272">
        <v>1271</v>
      </c>
      <c r="B272" t="s">
        <v>104</v>
      </c>
      <c r="C272" t="s">
        <v>66</v>
      </c>
      <c r="D272" t="s">
        <v>47</v>
      </c>
      <c r="E272" t="s">
        <v>71</v>
      </c>
      <c r="F272">
        <v>10</v>
      </c>
      <c r="G272">
        <v>1200</v>
      </c>
      <c r="H272">
        <v>2</v>
      </c>
      <c r="I272">
        <v>12000</v>
      </c>
      <c r="J272">
        <v>240</v>
      </c>
      <c r="K272">
        <v>11760</v>
      </c>
      <c r="L272">
        <f t="shared" si="4"/>
        <v>2352</v>
      </c>
    </row>
    <row r="273" spans="1:12">
      <c r="A273">
        <v>1272</v>
      </c>
      <c r="B273" t="s">
        <v>250</v>
      </c>
      <c r="C273" t="s">
        <v>70</v>
      </c>
      <c r="D273" t="s">
        <v>32</v>
      </c>
      <c r="E273" t="s">
        <v>51</v>
      </c>
      <c r="F273">
        <v>1</v>
      </c>
      <c r="G273">
        <v>500</v>
      </c>
      <c r="H273">
        <v>5</v>
      </c>
      <c r="I273">
        <v>500</v>
      </c>
      <c r="J273">
        <v>25</v>
      </c>
      <c r="K273">
        <v>475</v>
      </c>
      <c r="L273">
        <f t="shared" si="4"/>
        <v>95</v>
      </c>
    </row>
    <row r="274" spans="1:12">
      <c r="A274">
        <v>1273</v>
      </c>
      <c r="B274" t="s">
        <v>251</v>
      </c>
      <c r="C274" t="s">
        <v>38</v>
      </c>
      <c r="D274" t="s">
        <v>32</v>
      </c>
      <c r="E274" t="s">
        <v>33</v>
      </c>
      <c r="F274">
        <v>5</v>
      </c>
      <c r="G274">
        <v>20000</v>
      </c>
      <c r="H274">
        <v>5</v>
      </c>
      <c r="I274">
        <v>100000</v>
      </c>
      <c r="J274">
        <v>5000</v>
      </c>
      <c r="K274">
        <v>95000</v>
      </c>
      <c r="L274">
        <f t="shared" si="4"/>
        <v>19000</v>
      </c>
    </row>
    <row r="275" spans="1:12">
      <c r="A275">
        <v>1274</v>
      </c>
      <c r="B275" t="s">
        <v>86</v>
      </c>
      <c r="C275" t="s">
        <v>70</v>
      </c>
      <c r="D275" t="s">
        <v>32</v>
      </c>
      <c r="E275" t="s">
        <v>41</v>
      </c>
      <c r="F275">
        <v>4</v>
      </c>
      <c r="G275">
        <v>50000</v>
      </c>
      <c r="H275">
        <v>10</v>
      </c>
      <c r="I275">
        <v>200000</v>
      </c>
      <c r="J275">
        <v>20000</v>
      </c>
      <c r="K275">
        <v>180000</v>
      </c>
      <c r="L275">
        <f t="shared" si="4"/>
        <v>36000</v>
      </c>
    </row>
    <row r="276" spans="1:12">
      <c r="A276">
        <v>1275</v>
      </c>
      <c r="B276" t="s">
        <v>123</v>
      </c>
      <c r="C276" t="s">
        <v>38</v>
      </c>
      <c r="D276" t="s">
        <v>32</v>
      </c>
      <c r="E276" t="s">
        <v>41</v>
      </c>
      <c r="F276">
        <v>9</v>
      </c>
      <c r="G276">
        <v>10000</v>
      </c>
      <c r="H276">
        <v>2</v>
      </c>
      <c r="I276">
        <v>90000</v>
      </c>
      <c r="J276">
        <v>1800</v>
      </c>
      <c r="K276">
        <v>88200</v>
      </c>
      <c r="L276">
        <f t="shared" si="4"/>
        <v>17640</v>
      </c>
    </row>
    <row r="277" spans="1:12">
      <c r="A277">
        <v>1276</v>
      </c>
      <c r="B277" t="s">
        <v>252</v>
      </c>
      <c r="C277" t="s">
        <v>66</v>
      </c>
      <c r="D277" t="s">
        <v>6</v>
      </c>
      <c r="E277" t="s">
        <v>9</v>
      </c>
      <c r="F277">
        <v>6</v>
      </c>
      <c r="G277">
        <v>20000</v>
      </c>
      <c r="H277">
        <v>2</v>
      </c>
      <c r="I277">
        <v>120000</v>
      </c>
      <c r="J277">
        <v>2400</v>
      </c>
      <c r="K277">
        <v>117600</v>
      </c>
      <c r="L277">
        <f t="shared" si="4"/>
        <v>23520</v>
      </c>
    </row>
    <row r="278" spans="1:12">
      <c r="A278">
        <v>1277</v>
      </c>
      <c r="B278" t="s">
        <v>57</v>
      </c>
      <c r="C278" t="s">
        <v>25</v>
      </c>
      <c r="D278" t="s">
        <v>32</v>
      </c>
      <c r="E278" t="s">
        <v>51</v>
      </c>
      <c r="F278">
        <v>4</v>
      </c>
      <c r="G278">
        <v>1200</v>
      </c>
      <c r="H278">
        <v>0</v>
      </c>
      <c r="I278">
        <v>4800</v>
      </c>
      <c r="J278">
        <v>0</v>
      </c>
      <c r="K278">
        <v>4800</v>
      </c>
      <c r="L278">
        <f t="shared" si="4"/>
        <v>960</v>
      </c>
    </row>
    <row r="279" spans="1:12">
      <c r="A279">
        <v>1278</v>
      </c>
      <c r="B279" t="s">
        <v>253</v>
      </c>
      <c r="C279" t="s">
        <v>70</v>
      </c>
      <c r="D279" t="s">
        <v>6</v>
      </c>
      <c r="E279" t="s">
        <v>29</v>
      </c>
      <c r="F279">
        <v>8</v>
      </c>
      <c r="G279">
        <v>10000</v>
      </c>
      <c r="H279">
        <v>5</v>
      </c>
      <c r="I279">
        <v>80000</v>
      </c>
      <c r="J279">
        <v>4000</v>
      </c>
      <c r="K279">
        <v>76000</v>
      </c>
      <c r="L279">
        <f t="shared" si="4"/>
        <v>15200</v>
      </c>
    </row>
    <row r="280" spans="1:12">
      <c r="A280">
        <v>1279</v>
      </c>
      <c r="B280" t="s">
        <v>254</v>
      </c>
      <c r="C280" t="s">
        <v>38</v>
      </c>
      <c r="D280" t="s">
        <v>47</v>
      </c>
      <c r="E280" t="s">
        <v>75</v>
      </c>
      <c r="F280">
        <v>2</v>
      </c>
      <c r="G280">
        <v>500</v>
      </c>
      <c r="H280">
        <v>15</v>
      </c>
      <c r="I280">
        <v>1000</v>
      </c>
      <c r="J280">
        <v>150</v>
      </c>
      <c r="K280">
        <v>850</v>
      </c>
      <c r="L280">
        <f t="shared" si="4"/>
        <v>170</v>
      </c>
    </row>
    <row r="281" spans="1:12">
      <c r="A281">
        <v>1280</v>
      </c>
      <c r="B281" t="s">
        <v>133</v>
      </c>
      <c r="C281" t="s">
        <v>56</v>
      </c>
      <c r="D281" t="s">
        <v>32</v>
      </c>
      <c r="E281" t="s">
        <v>33</v>
      </c>
      <c r="F281">
        <v>4</v>
      </c>
      <c r="G281">
        <v>500</v>
      </c>
      <c r="H281">
        <v>15</v>
      </c>
      <c r="I281">
        <v>2000</v>
      </c>
      <c r="J281">
        <v>300</v>
      </c>
      <c r="K281">
        <v>1700</v>
      </c>
      <c r="L281">
        <f t="shared" si="4"/>
        <v>340</v>
      </c>
    </row>
    <row r="282" spans="1:12">
      <c r="A282">
        <v>1281</v>
      </c>
      <c r="B282" t="s">
        <v>255</v>
      </c>
      <c r="C282" t="s">
        <v>21</v>
      </c>
      <c r="D282" t="s">
        <v>47</v>
      </c>
      <c r="E282" t="s">
        <v>75</v>
      </c>
      <c r="F282">
        <v>8</v>
      </c>
      <c r="G282">
        <v>5000</v>
      </c>
      <c r="H282">
        <v>15</v>
      </c>
      <c r="I282">
        <v>40000</v>
      </c>
      <c r="J282">
        <v>6000</v>
      </c>
      <c r="K282">
        <v>34000</v>
      </c>
      <c r="L282">
        <f t="shared" si="4"/>
        <v>6800</v>
      </c>
    </row>
    <row r="283" spans="1:12">
      <c r="A283">
        <v>1282</v>
      </c>
      <c r="B283" t="s">
        <v>256</v>
      </c>
      <c r="C283" t="s">
        <v>58</v>
      </c>
      <c r="D283" t="s">
        <v>6</v>
      </c>
      <c r="E283" t="s">
        <v>29</v>
      </c>
      <c r="F283">
        <v>3</v>
      </c>
      <c r="G283">
        <v>10000</v>
      </c>
      <c r="H283">
        <v>2</v>
      </c>
      <c r="I283">
        <v>30000</v>
      </c>
      <c r="J283">
        <v>600</v>
      </c>
      <c r="K283">
        <v>29400</v>
      </c>
      <c r="L283">
        <f t="shared" si="4"/>
        <v>5880</v>
      </c>
    </row>
    <row r="284" spans="1:12">
      <c r="A284">
        <v>1283</v>
      </c>
      <c r="B284" t="s">
        <v>164</v>
      </c>
      <c r="C284" t="s">
        <v>56</v>
      </c>
      <c r="D284" t="s">
        <v>47</v>
      </c>
      <c r="E284" t="s">
        <v>75</v>
      </c>
      <c r="F284">
        <v>8</v>
      </c>
      <c r="G284">
        <v>5000</v>
      </c>
      <c r="H284">
        <v>2</v>
      </c>
      <c r="I284">
        <v>40000</v>
      </c>
      <c r="J284">
        <v>800</v>
      </c>
      <c r="K284">
        <v>39200</v>
      </c>
      <c r="L284">
        <f t="shared" si="4"/>
        <v>7840</v>
      </c>
    </row>
    <row r="285" spans="1:12">
      <c r="A285">
        <v>1284</v>
      </c>
      <c r="B285" t="s">
        <v>200</v>
      </c>
      <c r="C285" t="s">
        <v>46</v>
      </c>
      <c r="D285" t="s">
        <v>6</v>
      </c>
      <c r="E285" t="s">
        <v>9</v>
      </c>
      <c r="F285">
        <v>3</v>
      </c>
      <c r="G285">
        <v>50000</v>
      </c>
      <c r="H285">
        <v>2</v>
      </c>
      <c r="I285">
        <v>150000</v>
      </c>
      <c r="J285">
        <v>3000</v>
      </c>
      <c r="K285">
        <v>147000</v>
      </c>
      <c r="L285">
        <f t="shared" si="4"/>
        <v>29400</v>
      </c>
    </row>
    <row r="286" spans="1:12">
      <c r="A286">
        <v>1285</v>
      </c>
      <c r="B286" t="s">
        <v>141</v>
      </c>
      <c r="C286" t="s">
        <v>21</v>
      </c>
      <c r="D286" t="s">
        <v>47</v>
      </c>
      <c r="E286" t="s">
        <v>71</v>
      </c>
      <c r="F286">
        <v>3</v>
      </c>
      <c r="G286">
        <v>800</v>
      </c>
      <c r="H286">
        <v>5</v>
      </c>
      <c r="I286">
        <v>2400</v>
      </c>
      <c r="J286">
        <v>120</v>
      </c>
      <c r="K286">
        <v>2280</v>
      </c>
      <c r="L286">
        <f t="shared" si="4"/>
        <v>456</v>
      </c>
    </row>
    <row r="287" spans="1:12">
      <c r="A287">
        <v>1286</v>
      </c>
      <c r="B287" t="s">
        <v>257</v>
      </c>
      <c r="C287" t="s">
        <v>56</v>
      </c>
      <c r="D287" t="s">
        <v>47</v>
      </c>
      <c r="E287" t="s">
        <v>71</v>
      </c>
      <c r="F287">
        <v>10</v>
      </c>
      <c r="G287">
        <v>5000</v>
      </c>
      <c r="H287">
        <v>5</v>
      </c>
      <c r="I287">
        <v>50000</v>
      </c>
      <c r="J287">
        <v>2500</v>
      </c>
      <c r="K287">
        <v>47500</v>
      </c>
      <c r="L287">
        <f t="shared" si="4"/>
        <v>9500</v>
      </c>
    </row>
    <row r="288" spans="1:12">
      <c r="A288">
        <v>1287</v>
      </c>
      <c r="B288" t="s">
        <v>258</v>
      </c>
      <c r="C288" t="s">
        <v>25</v>
      </c>
      <c r="D288" t="s">
        <v>6</v>
      </c>
      <c r="E288" t="s">
        <v>22</v>
      </c>
      <c r="F288">
        <v>7</v>
      </c>
      <c r="G288">
        <v>10000</v>
      </c>
      <c r="H288">
        <v>15</v>
      </c>
      <c r="I288">
        <v>70000</v>
      </c>
      <c r="J288">
        <v>10500</v>
      </c>
      <c r="K288">
        <v>59500</v>
      </c>
      <c r="L288">
        <f t="shared" si="4"/>
        <v>11900</v>
      </c>
    </row>
    <row r="289" spans="1:12">
      <c r="A289">
        <v>1288</v>
      </c>
      <c r="B289" t="s">
        <v>228</v>
      </c>
      <c r="C289" t="s">
        <v>58</v>
      </c>
      <c r="D289" t="s">
        <v>6</v>
      </c>
      <c r="E289" t="s">
        <v>29</v>
      </c>
      <c r="F289">
        <v>2</v>
      </c>
      <c r="G289">
        <v>50000</v>
      </c>
      <c r="H289">
        <v>15</v>
      </c>
      <c r="I289">
        <v>100000</v>
      </c>
      <c r="J289">
        <v>15000</v>
      </c>
      <c r="K289">
        <v>85000</v>
      </c>
      <c r="L289">
        <f t="shared" si="4"/>
        <v>17000</v>
      </c>
    </row>
    <row r="290" spans="1:12">
      <c r="A290">
        <v>1289</v>
      </c>
      <c r="B290" t="s">
        <v>248</v>
      </c>
      <c r="C290" t="s">
        <v>21</v>
      </c>
      <c r="D290" t="s">
        <v>6</v>
      </c>
      <c r="E290" t="s">
        <v>29</v>
      </c>
      <c r="F290">
        <v>4</v>
      </c>
      <c r="G290">
        <v>50000</v>
      </c>
      <c r="H290">
        <v>15</v>
      </c>
      <c r="I290">
        <v>200000</v>
      </c>
      <c r="J290">
        <v>30000</v>
      </c>
      <c r="K290">
        <v>170000</v>
      </c>
      <c r="L290">
        <f t="shared" si="4"/>
        <v>34000</v>
      </c>
    </row>
    <row r="291" spans="1:12">
      <c r="A291">
        <v>1290</v>
      </c>
      <c r="B291" t="s">
        <v>259</v>
      </c>
      <c r="C291" t="s">
        <v>38</v>
      </c>
      <c r="D291" t="s">
        <v>6</v>
      </c>
      <c r="E291" t="s">
        <v>29</v>
      </c>
      <c r="F291">
        <v>2</v>
      </c>
      <c r="G291">
        <v>50000</v>
      </c>
      <c r="H291">
        <v>2</v>
      </c>
      <c r="I291">
        <v>100000</v>
      </c>
      <c r="J291">
        <v>2000</v>
      </c>
      <c r="K291">
        <v>98000</v>
      </c>
      <c r="L291">
        <f t="shared" si="4"/>
        <v>19600</v>
      </c>
    </row>
    <row r="292" spans="1:12">
      <c r="A292">
        <v>1291</v>
      </c>
      <c r="B292" t="s">
        <v>182</v>
      </c>
      <c r="C292" t="s">
        <v>38</v>
      </c>
      <c r="D292" t="s">
        <v>6</v>
      </c>
      <c r="E292" t="s">
        <v>22</v>
      </c>
      <c r="F292">
        <v>7</v>
      </c>
      <c r="G292">
        <v>10000</v>
      </c>
      <c r="H292">
        <v>15</v>
      </c>
      <c r="I292">
        <v>70000</v>
      </c>
      <c r="J292">
        <v>10500</v>
      </c>
      <c r="K292">
        <v>59500</v>
      </c>
      <c r="L292">
        <f t="shared" si="4"/>
        <v>11900</v>
      </c>
    </row>
    <row r="293" spans="1:12">
      <c r="A293">
        <v>1292</v>
      </c>
      <c r="B293" t="s">
        <v>260</v>
      </c>
      <c r="C293" t="s">
        <v>66</v>
      </c>
      <c r="D293" t="s">
        <v>47</v>
      </c>
      <c r="E293" t="s">
        <v>75</v>
      </c>
      <c r="F293">
        <v>8</v>
      </c>
      <c r="G293">
        <v>10000</v>
      </c>
      <c r="H293">
        <v>0</v>
      </c>
      <c r="I293">
        <v>80000</v>
      </c>
      <c r="J293">
        <v>0</v>
      </c>
      <c r="K293">
        <v>80000</v>
      </c>
      <c r="L293">
        <f t="shared" si="4"/>
        <v>16000</v>
      </c>
    </row>
    <row r="294" spans="1:12">
      <c r="A294">
        <v>1293</v>
      </c>
      <c r="B294" t="s">
        <v>261</v>
      </c>
      <c r="C294" t="s">
        <v>50</v>
      </c>
      <c r="D294" t="s">
        <v>32</v>
      </c>
      <c r="E294" t="s">
        <v>33</v>
      </c>
      <c r="F294">
        <v>4</v>
      </c>
      <c r="G294">
        <v>50000</v>
      </c>
      <c r="H294">
        <v>15</v>
      </c>
      <c r="I294">
        <v>200000</v>
      </c>
      <c r="J294">
        <v>30000</v>
      </c>
      <c r="K294">
        <v>170000</v>
      </c>
      <c r="L294">
        <f t="shared" si="4"/>
        <v>34000</v>
      </c>
    </row>
    <row r="295" spans="1:12">
      <c r="A295">
        <v>1294</v>
      </c>
      <c r="B295" t="s">
        <v>86</v>
      </c>
      <c r="C295" t="s">
        <v>38</v>
      </c>
      <c r="D295" t="s">
        <v>32</v>
      </c>
      <c r="E295" t="s">
        <v>51</v>
      </c>
      <c r="F295">
        <v>5</v>
      </c>
      <c r="G295">
        <v>20000</v>
      </c>
      <c r="H295">
        <v>0</v>
      </c>
      <c r="I295">
        <v>100000</v>
      </c>
      <c r="J295">
        <v>0</v>
      </c>
      <c r="K295">
        <v>100000</v>
      </c>
      <c r="L295">
        <f t="shared" si="4"/>
        <v>20000</v>
      </c>
    </row>
    <row r="296" spans="1:12">
      <c r="A296">
        <v>1295</v>
      </c>
      <c r="B296" t="s">
        <v>262</v>
      </c>
      <c r="C296" t="s">
        <v>25</v>
      </c>
      <c r="D296" t="s">
        <v>47</v>
      </c>
      <c r="E296" t="s">
        <v>48</v>
      </c>
      <c r="F296">
        <v>4</v>
      </c>
      <c r="G296">
        <v>500</v>
      </c>
      <c r="H296">
        <v>15</v>
      </c>
      <c r="I296">
        <v>2000</v>
      </c>
      <c r="J296">
        <v>300</v>
      </c>
      <c r="K296">
        <v>1700</v>
      </c>
      <c r="L296">
        <f t="shared" si="4"/>
        <v>340</v>
      </c>
    </row>
    <row r="297" spans="1:12">
      <c r="A297">
        <v>1296</v>
      </c>
      <c r="B297" t="s">
        <v>87</v>
      </c>
      <c r="C297" t="s">
        <v>46</v>
      </c>
      <c r="D297" t="s">
        <v>47</v>
      </c>
      <c r="E297" t="s">
        <v>75</v>
      </c>
      <c r="F297">
        <v>6</v>
      </c>
      <c r="G297">
        <v>20000</v>
      </c>
      <c r="H297">
        <v>5</v>
      </c>
      <c r="I297">
        <v>120000</v>
      </c>
      <c r="J297">
        <v>6000</v>
      </c>
      <c r="K297">
        <v>114000</v>
      </c>
      <c r="L297">
        <f t="shared" si="4"/>
        <v>22800</v>
      </c>
    </row>
    <row r="298" spans="1:12">
      <c r="A298">
        <v>1297</v>
      </c>
      <c r="B298" t="s">
        <v>263</v>
      </c>
      <c r="C298" t="s">
        <v>46</v>
      </c>
      <c r="D298" t="s">
        <v>47</v>
      </c>
      <c r="E298" t="s">
        <v>75</v>
      </c>
      <c r="F298">
        <v>2</v>
      </c>
      <c r="G298">
        <v>1200</v>
      </c>
      <c r="H298">
        <v>10</v>
      </c>
      <c r="I298">
        <v>2400</v>
      </c>
      <c r="J298">
        <v>240</v>
      </c>
      <c r="K298">
        <v>2160</v>
      </c>
      <c r="L298">
        <f t="shared" si="4"/>
        <v>432</v>
      </c>
    </row>
    <row r="299" spans="1:12">
      <c r="A299">
        <v>1298</v>
      </c>
      <c r="B299" t="s">
        <v>189</v>
      </c>
      <c r="C299" t="s">
        <v>70</v>
      </c>
      <c r="D299" t="s">
        <v>47</v>
      </c>
      <c r="E299" t="s">
        <v>75</v>
      </c>
      <c r="F299">
        <v>1</v>
      </c>
      <c r="G299">
        <v>20000</v>
      </c>
      <c r="H299">
        <v>0</v>
      </c>
      <c r="I299">
        <v>20000</v>
      </c>
      <c r="J299">
        <v>0</v>
      </c>
      <c r="K299">
        <v>20000</v>
      </c>
      <c r="L299">
        <f t="shared" si="4"/>
        <v>4000</v>
      </c>
    </row>
    <row r="300" spans="1:12">
      <c r="A300">
        <v>1299</v>
      </c>
      <c r="B300" t="s">
        <v>264</v>
      </c>
      <c r="C300" t="s">
        <v>50</v>
      </c>
      <c r="D300" t="s">
        <v>6</v>
      </c>
      <c r="E300" t="s">
        <v>9</v>
      </c>
      <c r="F300">
        <v>4</v>
      </c>
      <c r="G300">
        <v>10000</v>
      </c>
      <c r="H300">
        <v>0</v>
      </c>
      <c r="I300">
        <v>40000</v>
      </c>
      <c r="J300">
        <v>0</v>
      </c>
      <c r="K300">
        <v>40000</v>
      </c>
      <c r="L300">
        <f t="shared" si="4"/>
        <v>8000</v>
      </c>
    </row>
    <row r="301" spans="1:12">
      <c r="A301">
        <v>1300</v>
      </c>
      <c r="B301" t="s">
        <v>106</v>
      </c>
      <c r="C301" t="s">
        <v>58</v>
      </c>
      <c r="D301" t="s">
        <v>47</v>
      </c>
      <c r="E301" t="s">
        <v>48</v>
      </c>
      <c r="F301">
        <v>7</v>
      </c>
      <c r="G301">
        <v>5000</v>
      </c>
      <c r="H301">
        <v>15</v>
      </c>
      <c r="I301">
        <v>35000</v>
      </c>
      <c r="J301">
        <v>5250</v>
      </c>
      <c r="K301">
        <v>29750</v>
      </c>
      <c r="L301">
        <f t="shared" si="4"/>
        <v>5950</v>
      </c>
    </row>
    <row r="302" spans="1:12">
      <c r="A302">
        <v>1301</v>
      </c>
      <c r="B302" t="s">
        <v>242</v>
      </c>
      <c r="C302" t="s">
        <v>28</v>
      </c>
      <c r="D302" t="s">
        <v>47</v>
      </c>
      <c r="E302" t="s">
        <v>71</v>
      </c>
      <c r="F302">
        <v>3</v>
      </c>
      <c r="G302">
        <v>500</v>
      </c>
      <c r="H302">
        <v>15</v>
      </c>
      <c r="I302">
        <v>1500</v>
      </c>
      <c r="J302">
        <v>225</v>
      </c>
      <c r="K302">
        <v>1275</v>
      </c>
      <c r="L302">
        <f t="shared" si="4"/>
        <v>255</v>
      </c>
    </row>
    <row r="303" spans="1:12">
      <c r="A303">
        <v>1302</v>
      </c>
      <c r="B303" t="s">
        <v>195</v>
      </c>
      <c r="C303" t="s">
        <v>46</v>
      </c>
      <c r="D303" t="s">
        <v>6</v>
      </c>
      <c r="E303" t="s">
        <v>22</v>
      </c>
      <c r="F303">
        <v>5</v>
      </c>
      <c r="G303">
        <v>800</v>
      </c>
      <c r="H303">
        <v>5</v>
      </c>
      <c r="I303">
        <v>4000</v>
      </c>
      <c r="J303">
        <v>200</v>
      </c>
      <c r="K303">
        <v>3800</v>
      </c>
      <c r="L303">
        <f t="shared" si="4"/>
        <v>760</v>
      </c>
    </row>
    <row r="304" spans="1:12">
      <c r="A304">
        <v>1303</v>
      </c>
      <c r="B304" t="s">
        <v>265</v>
      </c>
      <c r="C304" t="s">
        <v>46</v>
      </c>
      <c r="D304" t="s">
        <v>32</v>
      </c>
      <c r="E304" t="s">
        <v>51</v>
      </c>
      <c r="F304">
        <v>3</v>
      </c>
      <c r="G304">
        <v>5000</v>
      </c>
      <c r="H304">
        <v>10</v>
      </c>
      <c r="I304">
        <v>15000</v>
      </c>
      <c r="J304">
        <v>1500</v>
      </c>
      <c r="K304">
        <v>13500</v>
      </c>
      <c r="L304">
        <f t="shared" si="4"/>
        <v>2700</v>
      </c>
    </row>
    <row r="305" spans="1:12">
      <c r="A305">
        <v>1304</v>
      </c>
      <c r="B305" t="s">
        <v>151</v>
      </c>
      <c r="C305" t="s">
        <v>56</v>
      </c>
      <c r="D305" t="s">
        <v>32</v>
      </c>
      <c r="E305" t="s">
        <v>51</v>
      </c>
      <c r="F305">
        <v>6</v>
      </c>
      <c r="G305">
        <v>5000</v>
      </c>
      <c r="H305">
        <v>5</v>
      </c>
      <c r="I305">
        <v>30000</v>
      </c>
      <c r="J305">
        <v>1500</v>
      </c>
      <c r="K305">
        <v>28500</v>
      </c>
      <c r="L305">
        <f t="shared" si="4"/>
        <v>5700</v>
      </c>
    </row>
    <row r="306" spans="1:12">
      <c r="A306">
        <v>1305</v>
      </c>
      <c r="B306" t="s">
        <v>133</v>
      </c>
      <c r="C306" t="s">
        <v>25</v>
      </c>
      <c r="D306" t="s">
        <v>6</v>
      </c>
      <c r="E306" t="s">
        <v>9</v>
      </c>
      <c r="F306">
        <v>3</v>
      </c>
      <c r="G306">
        <v>50000</v>
      </c>
      <c r="H306">
        <v>0</v>
      </c>
      <c r="I306">
        <v>150000</v>
      </c>
      <c r="J306">
        <v>0</v>
      </c>
      <c r="K306">
        <v>150000</v>
      </c>
      <c r="L306">
        <f t="shared" si="4"/>
        <v>30000</v>
      </c>
    </row>
    <row r="307" spans="1:12">
      <c r="A307">
        <v>1306</v>
      </c>
      <c r="B307" t="s">
        <v>148</v>
      </c>
      <c r="C307" t="s">
        <v>50</v>
      </c>
      <c r="D307" t="s">
        <v>32</v>
      </c>
      <c r="E307" t="s">
        <v>51</v>
      </c>
      <c r="F307">
        <v>9</v>
      </c>
      <c r="G307">
        <v>500</v>
      </c>
      <c r="H307">
        <v>2</v>
      </c>
      <c r="I307">
        <v>4500</v>
      </c>
      <c r="J307">
        <v>90</v>
      </c>
      <c r="K307">
        <v>4410</v>
      </c>
      <c r="L307">
        <f t="shared" si="4"/>
        <v>882</v>
      </c>
    </row>
    <row r="308" spans="1:12">
      <c r="A308">
        <v>1307</v>
      </c>
      <c r="B308" t="s">
        <v>266</v>
      </c>
      <c r="C308" t="s">
        <v>56</v>
      </c>
      <c r="D308" t="s">
        <v>32</v>
      </c>
      <c r="E308" t="s">
        <v>41</v>
      </c>
      <c r="F308">
        <v>5</v>
      </c>
      <c r="G308">
        <v>10000</v>
      </c>
      <c r="H308">
        <v>5</v>
      </c>
      <c r="I308">
        <v>50000</v>
      </c>
      <c r="J308">
        <v>2500</v>
      </c>
      <c r="K308">
        <v>47500</v>
      </c>
      <c r="L308">
        <f t="shared" si="4"/>
        <v>9500</v>
      </c>
    </row>
    <row r="309" spans="1:12">
      <c r="A309">
        <v>1308</v>
      </c>
      <c r="B309" t="s">
        <v>126</v>
      </c>
      <c r="C309" t="s">
        <v>70</v>
      </c>
      <c r="D309" t="s">
        <v>6</v>
      </c>
      <c r="E309" t="s">
        <v>29</v>
      </c>
      <c r="F309">
        <v>10</v>
      </c>
      <c r="G309">
        <v>10000</v>
      </c>
      <c r="H309">
        <v>2</v>
      </c>
      <c r="I309">
        <v>100000</v>
      </c>
      <c r="J309">
        <v>2000</v>
      </c>
      <c r="K309">
        <v>98000</v>
      </c>
      <c r="L309">
        <f t="shared" si="4"/>
        <v>19600</v>
      </c>
    </row>
    <row r="310" spans="1:12">
      <c r="A310">
        <v>1309</v>
      </c>
      <c r="B310" t="s">
        <v>267</v>
      </c>
      <c r="C310" t="s">
        <v>28</v>
      </c>
      <c r="D310" t="s">
        <v>47</v>
      </c>
      <c r="E310" t="s">
        <v>75</v>
      </c>
      <c r="F310">
        <v>6</v>
      </c>
      <c r="G310">
        <v>800</v>
      </c>
      <c r="H310">
        <v>5</v>
      </c>
      <c r="I310">
        <v>4800</v>
      </c>
      <c r="J310">
        <v>240</v>
      </c>
      <c r="K310">
        <v>4560</v>
      </c>
      <c r="L310">
        <f t="shared" si="4"/>
        <v>912</v>
      </c>
    </row>
    <row r="311" spans="1:12">
      <c r="A311">
        <v>1310</v>
      </c>
      <c r="B311" t="s">
        <v>253</v>
      </c>
      <c r="C311" t="s">
        <v>46</v>
      </c>
      <c r="D311" t="s">
        <v>47</v>
      </c>
      <c r="E311" t="s">
        <v>48</v>
      </c>
      <c r="F311">
        <v>1</v>
      </c>
      <c r="G311">
        <v>10000</v>
      </c>
      <c r="H311">
        <v>0</v>
      </c>
      <c r="I311">
        <v>10000</v>
      </c>
      <c r="J311">
        <v>0</v>
      </c>
      <c r="K311">
        <v>10000</v>
      </c>
      <c r="L311">
        <f t="shared" si="4"/>
        <v>2000</v>
      </c>
    </row>
    <row r="312" spans="1:12">
      <c r="A312">
        <v>1311</v>
      </c>
      <c r="B312" t="s">
        <v>143</v>
      </c>
      <c r="C312" t="s">
        <v>50</v>
      </c>
      <c r="D312" t="s">
        <v>6</v>
      </c>
      <c r="E312" t="s">
        <v>9</v>
      </c>
      <c r="F312">
        <v>9</v>
      </c>
      <c r="G312">
        <v>2500</v>
      </c>
      <c r="H312">
        <v>5</v>
      </c>
      <c r="I312">
        <v>22500</v>
      </c>
      <c r="J312">
        <v>1125</v>
      </c>
      <c r="K312">
        <v>21375</v>
      </c>
      <c r="L312">
        <f t="shared" si="4"/>
        <v>4275</v>
      </c>
    </row>
    <row r="313" spans="1:12">
      <c r="A313">
        <v>1312</v>
      </c>
      <c r="B313" t="s">
        <v>268</v>
      </c>
      <c r="C313" t="s">
        <v>70</v>
      </c>
      <c r="D313" t="s">
        <v>32</v>
      </c>
      <c r="E313" t="s">
        <v>33</v>
      </c>
      <c r="F313">
        <v>9</v>
      </c>
      <c r="G313">
        <v>20000</v>
      </c>
      <c r="H313">
        <v>5</v>
      </c>
      <c r="I313">
        <v>180000</v>
      </c>
      <c r="J313">
        <v>9000</v>
      </c>
      <c r="K313">
        <v>171000</v>
      </c>
      <c r="L313">
        <f t="shared" si="4"/>
        <v>34200</v>
      </c>
    </row>
    <row r="314" spans="1:12">
      <c r="A314">
        <v>1313</v>
      </c>
      <c r="B314" t="s">
        <v>269</v>
      </c>
      <c r="C314" t="s">
        <v>66</v>
      </c>
      <c r="D314" t="s">
        <v>6</v>
      </c>
      <c r="E314" t="s">
        <v>22</v>
      </c>
      <c r="F314">
        <v>9</v>
      </c>
      <c r="G314">
        <v>1200</v>
      </c>
      <c r="H314">
        <v>0</v>
      </c>
      <c r="I314">
        <v>10800</v>
      </c>
      <c r="J314">
        <v>0</v>
      </c>
      <c r="K314">
        <v>10800</v>
      </c>
      <c r="L314">
        <f t="shared" si="4"/>
        <v>2160</v>
      </c>
    </row>
    <row r="315" spans="1:12">
      <c r="A315">
        <v>1314</v>
      </c>
      <c r="B315" t="s">
        <v>145</v>
      </c>
      <c r="C315" t="s">
        <v>28</v>
      </c>
      <c r="D315" t="s">
        <v>47</v>
      </c>
      <c r="E315" t="s">
        <v>75</v>
      </c>
      <c r="F315">
        <v>5</v>
      </c>
      <c r="G315">
        <v>1200</v>
      </c>
      <c r="H315">
        <v>2</v>
      </c>
      <c r="I315">
        <v>6000</v>
      </c>
      <c r="J315">
        <v>120</v>
      </c>
      <c r="K315">
        <v>5880</v>
      </c>
      <c r="L315">
        <f t="shared" si="4"/>
        <v>1176</v>
      </c>
    </row>
    <row r="316" spans="1:12">
      <c r="A316">
        <v>1315</v>
      </c>
      <c r="B316" t="s">
        <v>220</v>
      </c>
      <c r="C316" t="s">
        <v>25</v>
      </c>
      <c r="D316" t="s">
        <v>47</v>
      </c>
      <c r="E316" t="s">
        <v>75</v>
      </c>
      <c r="F316">
        <v>5</v>
      </c>
      <c r="G316">
        <v>500</v>
      </c>
      <c r="H316">
        <v>15</v>
      </c>
      <c r="I316">
        <v>2500</v>
      </c>
      <c r="J316">
        <v>375</v>
      </c>
      <c r="K316">
        <v>2125</v>
      </c>
      <c r="L316">
        <f t="shared" si="4"/>
        <v>425</v>
      </c>
    </row>
    <row r="317" spans="1:12">
      <c r="A317">
        <v>1316</v>
      </c>
      <c r="B317" t="s">
        <v>270</v>
      </c>
      <c r="C317" t="s">
        <v>28</v>
      </c>
      <c r="D317" t="s">
        <v>47</v>
      </c>
      <c r="E317" t="s">
        <v>71</v>
      </c>
      <c r="F317">
        <v>3</v>
      </c>
      <c r="G317">
        <v>500</v>
      </c>
      <c r="H317">
        <v>5</v>
      </c>
      <c r="I317">
        <v>1500</v>
      </c>
      <c r="J317">
        <v>75</v>
      </c>
      <c r="K317">
        <v>1425</v>
      </c>
      <c r="L317">
        <f t="shared" si="4"/>
        <v>285</v>
      </c>
    </row>
    <row r="318" spans="1:12">
      <c r="A318">
        <v>1317</v>
      </c>
      <c r="B318" t="s">
        <v>271</v>
      </c>
      <c r="C318" t="s">
        <v>58</v>
      </c>
      <c r="D318" t="s">
        <v>32</v>
      </c>
      <c r="E318" t="s">
        <v>41</v>
      </c>
      <c r="F318">
        <v>9</v>
      </c>
      <c r="G318">
        <v>20000</v>
      </c>
      <c r="H318">
        <v>15</v>
      </c>
      <c r="I318">
        <v>180000</v>
      </c>
      <c r="J318">
        <v>27000</v>
      </c>
      <c r="K318">
        <v>153000</v>
      </c>
      <c r="L318">
        <f t="shared" si="4"/>
        <v>30600</v>
      </c>
    </row>
    <row r="319" spans="1:12">
      <c r="A319">
        <v>1318</v>
      </c>
      <c r="B319" t="s">
        <v>272</v>
      </c>
      <c r="C319" t="s">
        <v>46</v>
      </c>
      <c r="D319" t="s">
        <v>6</v>
      </c>
      <c r="E319" t="s">
        <v>29</v>
      </c>
      <c r="F319">
        <v>7</v>
      </c>
      <c r="G319">
        <v>800</v>
      </c>
      <c r="H319">
        <v>5</v>
      </c>
      <c r="I319">
        <v>5600</v>
      </c>
      <c r="J319">
        <v>280</v>
      </c>
      <c r="K319">
        <v>5320</v>
      </c>
      <c r="L319">
        <f t="shared" si="4"/>
        <v>1064</v>
      </c>
    </row>
    <row r="320" spans="1:12">
      <c r="A320">
        <v>1319</v>
      </c>
      <c r="B320" t="s">
        <v>273</v>
      </c>
      <c r="C320" t="s">
        <v>58</v>
      </c>
      <c r="D320" t="s">
        <v>47</v>
      </c>
      <c r="E320" t="s">
        <v>48</v>
      </c>
      <c r="F320">
        <v>8</v>
      </c>
      <c r="G320">
        <v>20000</v>
      </c>
      <c r="H320">
        <v>5</v>
      </c>
      <c r="I320">
        <v>160000</v>
      </c>
      <c r="J320">
        <v>8000</v>
      </c>
      <c r="K320">
        <v>152000</v>
      </c>
      <c r="L320">
        <f t="shared" si="4"/>
        <v>30400</v>
      </c>
    </row>
    <row r="321" spans="1:12">
      <c r="A321">
        <v>1320</v>
      </c>
      <c r="B321" t="s">
        <v>241</v>
      </c>
      <c r="C321" t="s">
        <v>46</v>
      </c>
      <c r="D321" t="s">
        <v>47</v>
      </c>
      <c r="E321" t="s">
        <v>75</v>
      </c>
      <c r="F321">
        <v>6</v>
      </c>
      <c r="G321">
        <v>1200</v>
      </c>
      <c r="H321">
        <v>0</v>
      </c>
      <c r="I321">
        <v>7200</v>
      </c>
      <c r="J321">
        <v>0</v>
      </c>
      <c r="K321">
        <v>7200</v>
      </c>
      <c r="L321">
        <f t="shared" si="4"/>
        <v>1440</v>
      </c>
    </row>
    <row r="322" spans="1:12">
      <c r="A322">
        <v>1321</v>
      </c>
      <c r="B322" t="s">
        <v>274</v>
      </c>
      <c r="C322" t="s">
        <v>66</v>
      </c>
      <c r="D322" t="s">
        <v>6</v>
      </c>
      <c r="E322" t="s">
        <v>9</v>
      </c>
      <c r="F322">
        <v>10</v>
      </c>
      <c r="G322">
        <v>800</v>
      </c>
      <c r="H322">
        <v>0</v>
      </c>
      <c r="I322">
        <v>8000</v>
      </c>
      <c r="J322">
        <v>0</v>
      </c>
      <c r="K322">
        <v>8000</v>
      </c>
      <c r="L322">
        <f t="shared" ref="L322:L385" si="5">K322*20%</f>
        <v>1600</v>
      </c>
    </row>
    <row r="323" spans="1:12">
      <c r="A323">
        <v>1322</v>
      </c>
      <c r="B323" t="s">
        <v>98</v>
      </c>
      <c r="C323" t="s">
        <v>70</v>
      </c>
      <c r="D323" t="s">
        <v>32</v>
      </c>
      <c r="E323" t="s">
        <v>41</v>
      </c>
      <c r="F323">
        <v>5</v>
      </c>
      <c r="G323">
        <v>5000</v>
      </c>
      <c r="H323">
        <v>0</v>
      </c>
      <c r="I323">
        <v>25000</v>
      </c>
      <c r="J323">
        <v>0</v>
      </c>
      <c r="K323">
        <v>25000</v>
      </c>
      <c r="L323">
        <f t="shared" si="5"/>
        <v>5000</v>
      </c>
    </row>
    <row r="324" spans="1:12">
      <c r="A324">
        <v>1323</v>
      </c>
      <c r="B324" t="s">
        <v>115</v>
      </c>
      <c r="C324" t="s">
        <v>56</v>
      </c>
      <c r="D324" t="s">
        <v>32</v>
      </c>
      <c r="E324" t="s">
        <v>33</v>
      </c>
      <c r="F324">
        <v>6</v>
      </c>
      <c r="G324">
        <v>500</v>
      </c>
      <c r="H324">
        <v>0</v>
      </c>
      <c r="I324">
        <v>3000</v>
      </c>
      <c r="J324">
        <v>0</v>
      </c>
      <c r="K324">
        <v>3000</v>
      </c>
      <c r="L324">
        <f t="shared" si="5"/>
        <v>600</v>
      </c>
    </row>
    <row r="325" spans="1:12">
      <c r="A325">
        <v>1324</v>
      </c>
      <c r="B325" t="s">
        <v>153</v>
      </c>
      <c r="C325" t="s">
        <v>46</v>
      </c>
      <c r="D325" t="s">
        <v>47</v>
      </c>
      <c r="E325" t="s">
        <v>75</v>
      </c>
      <c r="F325">
        <v>2</v>
      </c>
      <c r="G325">
        <v>20000</v>
      </c>
      <c r="H325">
        <v>0</v>
      </c>
      <c r="I325">
        <v>40000</v>
      </c>
      <c r="J325">
        <v>0</v>
      </c>
      <c r="K325">
        <v>40000</v>
      </c>
      <c r="L325">
        <f t="shared" si="5"/>
        <v>8000</v>
      </c>
    </row>
    <row r="326" spans="1:12">
      <c r="A326">
        <v>1325</v>
      </c>
      <c r="B326" t="s">
        <v>232</v>
      </c>
      <c r="C326" t="s">
        <v>56</v>
      </c>
      <c r="D326" t="s">
        <v>6</v>
      </c>
      <c r="E326" t="s">
        <v>22</v>
      </c>
      <c r="F326">
        <v>3</v>
      </c>
      <c r="G326">
        <v>50000</v>
      </c>
      <c r="H326">
        <v>0</v>
      </c>
      <c r="I326">
        <v>150000</v>
      </c>
      <c r="J326">
        <v>0</v>
      </c>
      <c r="K326">
        <v>150000</v>
      </c>
      <c r="L326">
        <f t="shared" si="5"/>
        <v>30000</v>
      </c>
    </row>
    <row r="327" spans="1:12">
      <c r="A327">
        <v>1326</v>
      </c>
      <c r="B327" t="s">
        <v>213</v>
      </c>
      <c r="C327" t="s">
        <v>21</v>
      </c>
      <c r="D327" t="s">
        <v>32</v>
      </c>
      <c r="E327" t="s">
        <v>33</v>
      </c>
      <c r="F327">
        <v>4</v>
      </c>
      <c r="G327">
        <v>800</v>
      </c>
      <c r="H327">
        <v>5</v>
      </c>
      <c r="I327">
        <v>3200</v>
      </c>
      <c r="J327">
        <v>160</v>
      </c>
      <c r="K327">
        <v>3040</v>
      </c>
      <c r="L327">
        <f t="shared" si="5"/>
        <v>608</v>
      </c>
    </row>
    <row r="328" spans="1:12">
      <c r="A328">
        <v>1327</v>
      </c>
      <c r="B328" t="s">
        <v>206</v>
      </c>
      <c r="C328" t="s">
        <v>28</v>
      </c>
      <c r="D328" t="s">
        <v>6</v>
      </c>
      <c r="E328" t="s">
        <v>29</v>
      </c>
      <c r="F328">
        <v>5</v>
      </c>
      <c r="G328">
        <v>500</v>
      </c>
      <c r="H328">
        <v>10</v>
      </c>
      <c r="I328">
        <v>2500</v>
      </c>
      <c r="J328">
        <v>250</v>
      </c>
      <c r="K328">
        <v>2250</v>
      </c>
      <c r="L328">
        <f t="shared" si="5"/>
        <v>450</v>
      </c>
    </row>
    <row r="329" spans="1:12">
      <c r="A329">
        <v>1328</v>
      </c>
      <c r="B329" t="s">
        <v>179</v>
      </c>
      <c r="C329" t="s">
        <v>56</v>
      </c>
      <c r="D329" t="s">
        <v>32</v>
      </c>
      <c r="E329" t="s">
        <v>41</v>
      </c>
      <c r="F329">
        <v>9</v>
      </c>
      <c r="G329">
        <v>5000</v>
      </c>
      <c r="H329">
        <v>2</v>
      </c>
      <c r="I329">
        <v>45000</v>
      </c>
      <c r="J329">
        <v>900</v>
      </c>
      <c r="K329">
        <v>44100</v>
      </c>
      <c r="L329">
        <f t="shared" si="5"/>
        <v>8820</v>
      </c>
    </row>
    <row r="330" spans="1:12">
      <c r="A330">
        <v>1329</v>
      </c>
      <c r="B330" t="s">
        <v>275</v>
      </c>
      <c r="C330" t="s">
        <v>56</v>
      </c>
      <c r="D330" t="s">
        <v>47</v>
      </c>
      <c r="E330" t="s">
        <v>71</v>
      </c>
      <c r="F330">
        <v>1</v>
      </c>
      <c r="G330">
        <v>50000</v>
      </c>
      <c r="H330">
        <v>0</v>
      </c>
      <c r="I330">
        <v>50000</v>
      </c>
      <c r="J330">
        <v>0</v>
      </c>
      <c r="K330">
        <v>50000</v>
      </c>
      <c r="L330">
        <f t="shared" si="5"/>
        <v>10000</v>
      </c>
    </row>
    <row r="331" spans="1:12">
      <c r="A331">
        <v>1330</v>
      </c>
      <c r="B331" t="s">
        <v>276</v>
      </c>
      <c r="C331" t="s">
        <v>28</v>
      </c>
      <c r="D331" t="s">
        <v>47</v>
      </c>
      <c r="E331" t="s">
        <v>75</v>
      </c>
      <c r="F331">
        <v>8</v>
      </c>
      <c r="G331">
        <v>500</v>
      </c>
      <c r="H331">
        <v>0</v>
      </c>
      <c r="I331">
        <v>4000</v>
      </c>
      <c r="J331">
        <v>0</v>
      </c>
      <c r="K331">
        <v>4000</v>
      </c>
      <c r="L331">
        <f t="shared" si="5"/>
        <v>800</v>
      </c>
    </row>
    <row r="332" spans="1:12">
      <c r="A332">
        <v>1331</v>
      </c>
      <c r="B332" t="s">
        <v>74</v>
      </c>
      <c r="C332" t="s">
        <v>38</v>
      </c>
      <c r="D332" t="s">
        <v>47</v>
      </c>
      <c r="E332" t="s">
        <v>71</v>
      </c>
      <c r="F332">
        <v>1</v>
      </c>
      <c r="G332">
        <v>800</v>
      </c>
      <c r="H332">
        <v>0</v>
      </c>
      <c r="I332">
        <v>800</v>
      </c>
      <c r="J332">
        <v>0</v>
      </c>
      <c r="K332">
        <v>800</v>
      </c>
      <c r="L332">
        <f t="shared" si="5"/>
        <v>160</v>
      </c>
    </row>
    <row r="333" spans="1:12">
      <c r="A333">
        <v>1332</v>
      </c>
      <c r="B333" t="s">
        <v>198</v>
      </c>
      <c r="C333" t="s">
        <v>58</v>
      </c>
      <c r="D333" t="s">
        <v>47</v>
      </c>
      <c r="E333" t="s">
        <v>48</v>
      </c>
      <c r="F333">
        <v>5</v>
      </c>
      <c r="G333">
        <v>800</v>
      </c>
      <c r="H333">
        <v>0</v>
      </c>
      <c r="I333">
        <v>4000</v>
      </c>
      <c r="J333">
        <v>0</v>
      </c>
      <c r="K333">
        <v>4000</v>
      </c>
      <c r="L333">
        <f t="shared" si="5"/>
        <v>800</v>
      </c>
    </row>
    <row r="334" spans="1:12">
      <c r="A334">
        <v>1333</v>
      </c>
      <c r="B334" t="s">
        <v>171</v>
      </c>
      <c r="C334" t="s">
        <v>56</v>
      </c>
      <c r="D334" t="s">
        <v>47</v>
      </c>
      <c r="E334" t="s">
        <v>48</v>
      </c>
      <c r="F334">
        <v>9</v>
      </c>
      <c r="G334">
        <v>50000</v>
      </c>
      <c r="H334">
        <v>10</v>
      </c>
      <c r="I334">
        <v>450000</v>
      </c>
      <c r="J334">
        <v>45000</v>
      </c>
      <c r="K334">
        <v>405000</v>
      </c>
      <c r="L334">
        <f t="shared" si="5"/>
        <v>81000</v>
      </c>
    </row>
    <row r="335" spans="1:12">
      <c r="A335">
        <v>1334</v>
      </c>
      <c r="B335" t="s">
        <v>172</v>
      </c>
      <c r="C335" t="s">
        <v>66</v>
      </c>
      <c r="D335" t="s">
        <v>32</v>
      </c>
      <c r="E335" t="s">
        <v>33</v>
      </c>
      <c r="F335">
        <v>1</v>
      </c>
      <c r="G335">
        <v>10000</v>
      </c>
      <c r="H335">
        <v>5</v>
      </c>
      <c r="I335">
        <v>10000</v>
      </c>
      <c r="J335">
        <v>500</v>
      </c>
      <c r="K335">
        <v>9500</v>
      </c>
      <c r="L335">
        <f t="shared" si="5"/>
        <v>1900</v>
      </c>
    </row>
    <row r="336" spans="1:12">
      <c r="A336">
        <v>1335</v>
      </c>
      <c r="B336" t="s">
        <v>277</v>
      </c>
      <c r="C336" t="s">
        <v>50</v>
      </c>
      <c r="D336" t="s">
        <v>6</v>
      </c>
      <c r="E336" t="s">
        <v>9</v>
      </c>
      <c r="F336">
        <v>10</v>
      </c>
      <c r="G336">
        <v>20000</v>
      </c>
      <c r="H336">
        <v>0</v>
      </c>
      <c r="I336">
        <v>200000</v>
      </c>
      <c r="J336">
        <v>0</v>
      </c>
      <c r="K336">
        <v>200000</v>
      </c>
      <c r="L336">
        <f t="shared" si="5"/>
        <v>40000</v>
      </c>
    </row>
    <row r="337" spans="1:12">
      <c r="A337">
        <v>1336</v>
      </c>
      <c r="B337" t="s">
        <v>278</v>
      </c>
      <c r="C337" t="s">
        <v>28</v>
      </c>
      <c r="D337" t="s">
        <v>47</v>
      </c>
      <c r="E337" t="s">
        <v>71</v>
      </c>
      <c r="F337">
        <v>7</v>
      </c>
      <c r="G337">
        <v>2500</v>
      </c>
      <c r="H337">
        <v>0</v>
      </c>
      <c r="I337">
        <v>17500</v>
      </c>
      <c r="J337">
        <v>0</v>
      </c>
      <c r="K337">
        <v>17500</v>
      </c>
      <c r="L337">
        <f t="shared" si="5"/>
        <v>3500</v>
      </c>
    </row>
    <row r="338" spans="1:12">
      <c r="A338">
        <v>1337</v>
      </c>
      <c r="B338" t="s">
        <v>229</v>
      </c>
      <c r="C338" t="s">
        <v>70</v>
      </c>
      <c r="D338" t="s">
        <v>47</v>
      </c>
      <c r="E338" t="s">
        <v>75</v>
      </c>
      <c r="F338">
        <v>4</v>
      </c>
      <c r="G338">
        <v>5000</v>
      </c>
      <c r="H338">
        <v>2</v>
      </c>
      <c r="I338">
        <v>20000</v>
      </c>
      <c r="J338">
        <v>400</v>
      </c>
      <c r="K338">
        <v>19600</v>
      </c>
      <c r="L338">
        <f t="shared" si="5"/>
        <v>3920</v>
      </c>
    </row>
    <row r="339" spans="1:12">
      <c r="A339">
        <v>1338</v>
      </c>
      <c r="B339" t="s">
        <v>279</v>
      </c>
      <c r="C339" t="s">
        <v>46</v>
      </c>
      <c r="D339" t="s">
        <v>6</v>
      </c>
      <c r="E339" t="s">
        <v>22</v>
      </c>
      <c r="F339">
        <v>7</v>
      </c>
      <c r="G339">
        <v>2500</v>
      </c>
      <c r="H339">
        <v>10</v>
      </c>
      <c r="I339">
        <v>17500</v>
      </c>
      <c r="J339">
        <v>1750</v>
      </c>
      <c r="K339">
        <v>15750</v>
      </c>
      <c r="L339">
        <f t="shared" si="5"/>
        <v>3150</v>
      </c>
    </row>
    <row r="340" spans="1:12">
      <c r="A340">
        <v>1339</v>
      </c>
      <c r="B340" t="s">
        <v>280</v>
      </c>
      <c r="C340" t="s">
        <v>21</v>
      </c>
      <c r="D340" t="s">
        <v>47</v>
      </c>
      <c r="E340" t="s">
        <v>75</v>
      </c>
      <c r="F340">
        <v>2</v>
      </c>
      <c r="G340">
        <v>2500</v>
      </c>
      <c r="H340">
        <v>2</v>
      </c>
      <c r="I340">
        <v>5000</v>
      </c>
      <c r="J340">
        <v>100</v>
      </c>
      <c r="K340">
        <v>4900</v>
      </c>
      <c r="L340">
        <f t="shared" si="5"/>
        <v>980</v>
      </c>
    </row>
    <row r="341" spans="1:12">
      <c r="A341">
        <v>1340</v>
      </c>
      <c r="B341" t="s">
        <v>150</v>
      </c>
      <c r="C341" t="s">
        <v>66</v>
      </c>
      <c r="D341" t="s">
        <v>6</v>
      </c>
      <c r="E341" t="s">
        <v>29</v>
      </c>
      <c r="F341">
        <v>10</v>
      </c>
      <c r="G341">
        <v>2500</v>
      </c>
      <c r="H341">
        <v>2</v>
      </c>
      <c r="I341">
        <v>25000</v>
      </c>
      <c r="J341">
        <v>500</v>
      </c>
      <c r="K341">
        <v>24500</v>
      </c>
      <c r="L341">
        <f t="shared" si="5"/>
        <v>4900</v>
      </c>
    </row>
    <row r="342" spans="1:12">
      <c r="A342">
        <v>1341</v>
      </c>
      <c r="B342" t="s">
        <v>165</v>
      </c>
      <c r="C342" t="s">
        <v>38</v>
      </c>
      <c r="D342" t="s">
        <v>6</v>
      </c>
      <c r="E342" t="s">
        <v>22</v>
      </c>
      <c r="F342">
        <v>4</v>
      </c>
      <c r="G342">
        <v>1200</v>
      </c>
      <c r="H342">
        <v>15</v>
      </c>
      <c r="I342">
        <v>4800</v>
      </c>
      <c r="J342">
        <v>720</v>
      </c>
      <c r="K342">
        <v>4080</v>
      </c>
      <c r="L342">
        <f t="shared" si="5"/>
        <v>816</v>
      </c>
    </row>
    <row r="343" spans="1:12">
      <c r="A343">
        <v>1342</v>
      </c>
      <c r="B343" t="s">
        <v>281</v>
      </c>
      <c r="C343" t="s">
        <v>28</v>
      </c>
      <c r="D343" t="s">
        <v>47</v>
      </c>
      <c r="E343" t="s">
        <v>75</v>
      </c>
      <c r="F343">
        <v>2</v>
      </c>
      <c r="G343">
        <v>800</v>
      </c>
      <c r="H343">
        <v>15</v>
      </c>
      <c r="I343">
        <v>1600</v>
      </c>
      <c r="J343">
        <v>240</v>
      </c>
      <c r="K343">
        <v>1360</v>
      </c>
      <c r="L343">
        <f t="shared" si="5"/>
        <v>272</v>
      </c>
    </row>
    <row r="344" spans="1:12">
      <c r="A344">
        <v>1343</v>
      </c>
      <c r="B344" t="s">
        <v>86</v>
      </c>
      <c r="C344" t="s">
        <v>70</v>
      </c>
      <c r="D344" t="s">
        <v>47</v>
      </c>
      <c r="E344" t="s">
        <v>48</v>
      </c>
      <c r="F344">
        <v>8</v>
      </c>
      <c r="G344">
        <v>50000</v>
      </c>
      <c r="H344">
        <v>2</v>
      </c>
      <c r="I344">
        <v>400000</v>
      </c>
      <c r="J344">
        <v>8000</v>
      </c>
      <c r="K344">
        <v>392000</v>
      </c>
      <c r="L344">
        <f t="shared" si="5"/>
        <v>78400</v>
      </c>
    </row>
    <row r="345" spans="1:12">
      <c r="A345">
        <v>1344</v>
      </c>
      <c r="B345" t="s">
        <v>27</v>
      </c>
      <c r="C345" t="s">
        <v>38</v>
      </c>
      <c r="D345" t="s">
        <v>47</v>
      </c>
      <c r="E345" t="s">
        <v>71</v>
      </c>
      <c r="F345">
        <v>5</v>
      </c>
      <c r="G345">
        <v>50000</v>
      </c>
      <c r="H345">
        <v>10</v>
      </c>
      <c r="I345">
        <v>250000</v>
      </c>
      <c r="J345">
        <v>25000</v>
      </c>
      <c r="K345">
        <v>225000</v>
      </c>
      <c r="L345">
        <f t="shared" si="5"/>
        <v>45000</v>
      </c>
    </row>
    <row r="346" spans="1:12">
      <c r="A346">
        <v>1345</v>
      </c>
      <c r="B346" t="s">
        <v>126</v>
      </c>
      <c r="C346" t="s">
        <v>28</v>
      </c>
      <c r="D346" t="s">
        <v>47</v>
      </c>
      <c r="E346" t="s">
        <v>75</v>
      </c>
      <c r="F346">
        <v>3</v>
      </c>
      <c r="G346">
        <v>2500</v>
      </c>
      <c r="H346">
        <v>5</v>
      </c>
      <c r="I346">
        <v>7500</v>
      </c>
      <c r="J346">
        <v>375</v>
      </c>
      <c r="K346">
        <v>7125</v>
      </c>
      <c r="L346">
        <f t="shared" si="5"/>
        <v>1425</v>
      </c>
    </row>
    <row r="347" spans="1:12">
      <c r="A347">
        <v>1346</v>
      </c>
      <c r="B347" t="s">
        <v>123</v>
      </c>
      <c r="C347" t="s">
        <v>58</v>
      </c>
      <c r="D347" t="s">
        <v>32</v>
      </c>
      <c r="E347" t="s">
        <v>51</v>
      </c>
      <c r="F347">
        <v>5</v>
      </c>
      <c r="G347">
        <v>10000</v>
      </c>
      <c r="H347">
        <v>5</v>
      </c>
      <c r="I347">
        <v>50000</v>
      </c>
      <c r="J347">
        <v>2500</v>
      </c>
      <c r="K347">
        <v>47500</v>
      </c>
      <c r="L347">
        <f t="shared" si="5"/>
        <v>9500</v>
      </c>
    </row>
    <row r="348" spans="1:12">
      <c r="A348">
        <v>1347</v>
      </c>
      <c r="B348" t="s">
        <v>230</v>
      </c>
      <c r="C348" t="s">
        <v>28</v>
      </c>
      <c r="D348" t="s">
        <v>6</v>
      </c>
      <c r="E348" t="s">
        <v>9</v>
      </c>
      <c r="F348">
        <v>7</v>
      </c>
      <c r="G348">
        <v>5000</v>
      </c>
      <c r="H348">
        <v>10</v>
      </c>
      <c r="I348">
        <v>35000</v>
      </c>
      <c r="J348">
        <v>3500</v>
      </c>
      <c r="K348">
        <v>31500</v>
      </c>
      <c r="L348">
        <f t="shared" si="5"/>
        <v>6300</v>
      </c>
    </row>
    <row r="349" spans="1:12">
      <c r="A349">
        <v>1348</v>
      </c>
      <c r="B349" t="s">
        <v>278</v>
      </c>
      <c r="C349" t="s">
        <v>46</v>
      </c>
      <c r="D349" t="s">
        <v>47</v>
      </c>
      <c r="E349" t="s">
        <v>48</v>
      </c>
      <c r="F349">
        <v>6</v>
      </c>
      <c r="G349">
        <v>500</v>
      </c>
      <c r="H349">
        <v>2</v>
      </c>
      <c r="I349">
        <v>3000</v>
      </c>
      <c r="J349">
        <v>60</v>
      </c>
      <c r="K349">
        <v>2940</v>
      </c>
      <c r="L349">
        <f t="shared" si="5"/>
        <v>588</v>
      </c>
    </row>
    <row r="350" spans="1:12">
      <c r="A350">
        <v>1349</v>
      </c>
      <c r="B350" t="s">
        <v>282</v>
      </c>
      <c r="C350" t="s">
        <v>50</v>
      </c>
      <c r="D350" t="s">
        <v>47</v>
      </c>
      <c r="E350" t="s">
        <v>75</v>
      </c>
      <c r="F350">
        <v>6</v>
      </c>
      <c r="G350">
        <v>800</v>
      </c>
      <c r="H350">
        <v>2</v>
      </c>
      <c r="I350">
        <v>4800</v>
      </c>
      <c r="J350">
        <v>96</v>
      </c>
      <c r="K350">
        <v>4704</v>
      </c>
      <c r="L350">
        <f t="shared" si="5"/>
        <v>940.80000000000007</v>
      </c>
    </row>
    <row r="351" spans="1:12">
      <c r="A351">
        <v>1350</v>
      </c>
      <c r="B351" t="s">
        <v>124</v>
      </c>
      <c r="C351" t="s">
        <v>66</v>
      </c>
      <c r="D351" t="s">
        <v>47</v>
      </c>
      <c r="E351" t="s">
        <v>75</v>
      </c>
      <c r="F351">
        <v>3</v>
      </c>
      <c r="G351">
        <v>10000</v>
      </c>
      <c r="H351">
        <v>2</v>
      </c>
      <c r="I351">
        <v>30000</v>
      </c>
      <c r="J351">
        <v>600</v>
      </c>
      <c r="K351">
        <v>29400</v>
      </c>
      <c r="L351">
        <f t="shared" si="5"/>
        <v>5880</v>
      </c>
    </row>
    <row r="352" spans="1:12">
      <c r="A352">
        <v>1351</v>
      </c>
      <c r="B352" t="s">
        <v>283</v>
      </c>
      <c r="C352" t="s">
        <v>46</v>
      </c>
      <c r="D352" t="s">
        <v>47</v>
      </c>
      <c r="E352" t="s">
        <v>75</v>
      </c>
      <c r="F352">
        <v>5</v>
      </c>
      <c r="G352">
        <v>50000</v>
      </c>
      <c r="H352">
        <v>2</v>
      </c>
      <c r="I352">
        <v>250000</v>
      </c>
      <c r="J352">
        <v>5000</v>
      </c>
      <c r="K352">
        <v>245000</v>
      </c>
      <c r="L352">
        <f t="shared" si="5"/>
        <v>49000</v>
      </c>
    </row>
    <row r="353" spans="1:12">
      <c r="A353">
        <v>1352</v>
      </c>
      <c r="B353" t="s">
        <v>282</v>
      </c>
      <c r="C353" t="s">
        <v>46</v>
      </c>
      <c r="D353" t="s">
        <v>6</v>
      </c>
      <c r="E353" t="s">
        <v>9</v>
      </c>
      <c r="F353">
        <v>9</v>
      </c>
      <c r="G353">
        <v>5000</v>
      </c>
      <c r="H353">
        <v>15</v>
      </c>
      <c r="I353">
        <v>45000</v>
      </c>
      <c r="J353">
        <v>6750</v>
      </c>
      <c r="K353">
        <v>38250</v>
      </c>
      <c r="L353">
        <f t="shared" si="5"/>
        <v>7650</v>
      </c>
    </row>
    <row r="354" spans="1:12">
      <c r="A354">
        <v>1353</v>
      </c>
      <c r="B354" t="s">
        <v>87</v>
      </c>
      <c r="C354" t="s">
        <v>66</v>
      </c>
      <c r="D354" t="s">
        <v>32</v>
      </c>
      <c r="E354" t="s">
        <v>33</v>
      </c>
      <c r="F354">
        <v>1</v>
      </c>
      <c r="G354">
        <v>1200</v>
      </c>
      <c r="H354">
        <v>2</v>
      </c>
      <c r="I354">
        <v>1200</v>
      </c>
      <c r="J354">
        <v>24</v>
      </c>
      <c r="K354">
        <v>1176</v>
      </c>
      <c r="L354">
        <f t="shared" si="5"/>
        <v>235.20000000000002</v>
      </c>
    </row>
    <row r="355" spans="1:12">
      <c r="A355">
        <v>1354</v>
      </c>
      <c r="B355" t="s">
        <v>252</v>
      </c>
      <c r="C355" t="s">
        <v>28</v>
      </c>
      <c r="D355" t="s">
        <v>47</v>
      </c>
      <c r="E355" t="s">
        <v>48</v>
      </c>
      <c r="F355">
        <v>3</v>
      </c>
      <c r="G355">
        <v>800</v>
      </c>
      <c r="H355">
        <v>5</v>
      </c>
      <c r="I355">
        <v>2400</v>
      </c>
      <c r="J355">
        <v>120</v>
      </c>
      <c r="K355">
        <v>2280</v>
      </c>
      <c r="L355">
        <f t="shared" si="5"/>
        <v>456</v>
      </c>
    </row>
    <row r="356" spans="1:12">
      <c r="A356">
        <v>1355</v>
      </c>
      <c r="B356" t="s">
        <v>266</v>
      </c>
      <c r="C356" t="s">
        <v>56</v>
      </c>
      <c r="D356" t="s">
        <v>6</v>
      </c>
      <c r="E356" t="s">
        <v>29</v>
      </c>
      <c r="F356">
        <v>3</v>
      </c>
      <c r="G356">
        <v>10000</v>
      </c>
      <c r="H356">
        <v>0</v>
      </c>
      <c r="I356">
        <v>30000</v>
      </c>
      <c r="J356">
        <v>0</v>
      </c>
      <c r="K356">
        <v>30000</v>
      </c>
      <c r="L356">
        <f t="shared" si="5"/>
        <v>6000</v>
      </c>
    </row>
    <row r="357" spans="1:12">
      <c r="A357">
        <v>1356</v>
      </c>
      <c r="B357" t="s">
        <v>284</v>
      </c>
      <c r="C357" t="s">
        <v>70</v>
      </c>
      <c r="D357" t="s">
        <v>32</v>
      </c>
      <c r="E357" t="s">
        <v>33</v>
      </c>
      <c r="F357">
        <v>4</v>
      </c>
      <c r="G357">
        <v>2500</v>
      </c>
      <c r="H357">
        <v>10</v>
      </c>
      <c r="I357">
        <v>10000</v>
      </c>
      <c r="J357">
        <v>1000</v>
      </c>
      <c r="K357">
        <v>9000</v>
      </c>
      <c r="L357">
        <f t="shared" si="5"/>
        <v>1800</v>
      </c>
    </row>
    <row r="358" spans="1:12">
      <c r="A358">
        <v>1357</v>
      </c>
      <c r="B358" t="s">
        <v>146</v>
      </c>
      <c r="C358" t="s">
        <v>66</v>
      </c>
      <c r="D358" t="s">
        <v>47</v>
      </c>
      <c r="E358" t="s">
        <v>71</v>
      </c>
      <c r="F358">
        <v>3</v>
      </c>
      <c r="G358">
        <v>800</v>
      </c>
      <c r="H358">
        <v>2</v>
      </c>
      <c r="I358">
        <v>2400</v>
      </c>
      <c r="J358">
        <v>48</v>
      </c>
      <c r="K358">
        <v>2352</v>
      </c>
      <c r="L358">
        <f t="shared" si="5"/>
        <v>470.40000000000003</v>
      </c>
    </row>
    <row r="359" spans="1:12">
      <c r="A359">
        <v>1358</v>
      </c>
      <c r="B359" t="s">
        <v>35</v>
      </c>
      <c r="C359" t="s">
        <v>56</v>
      </c>
      <c r="D359" t="s">
        <v>47</v>
      </c>
      <c r="E359" t="s">
        <v>75</v>
      </c>
      <c r="F359">
        <v>9</v>
      </c>
      <c r="G359">
        <v>800</v>
      </c>
      <c r="H359">
        <v>10</v>
      </c>
      <c r="I359">
        <v>7200</v>
      </c>
      <c r="J359">
        <v>720</v>
      </c>
      <c r="K359">
        <v>6480</v>
      </c>
      <c r="L359">
        <f t="shared" si="5"/>
        <v>1296</v>
      </c>
    </row>
    <row r="360" spans="1:12">
      <c r="A360">
        <v>1359</v>
      </c>
      <c r="B360" t="s">
        <v>98</v>
      </c>
      <c r="C360" t="s">
        <v>66</v>
      </c>
      <c r="D360" t="s">
        <v>32</v>
      </c>
      <c r="E360" t="s">
        <v>33</v>
      </c>
      <c r="F360">
        <v>3</v>
      </c>
      <c r="G360">
        <v>20000</v>
      </c>
      <c r="H360">
        <v>15</v>
      </c>
      <c r="I360">
        <v>60000</v>
      </c>
      <c r="J360">
        <v>9000</v>
      </c>
      <c r="K360">
        <v>51000</v>
      </c>
      <c r="L360">
        <f t="shared" si="5"/>
        <v>10200</v>
      </c>
    </row>
    <row r="361" spans="1:12">
      <c r="A361">
        <v>1360</v>
      </c>
      <c r="B361" t="s">
        <v>285</v>
      </c>
      <c r="C361" t="s">
        <v>28</v>
      </c>
      <c r="D361" t="s">
        <v>32</v>
      </c>
      <c r="E361" t="s">
        <v>51</v>
      </c>
      <c r="F361">
        <v>9</v>
      </c>
      <c r="G361">
        <v>1200</v>
      </c>
      <c r="H361">
        <v>15</v>
      </c>
      <c r="I361">
        <v>10800</v>
      </c>
      <c r="J361">
        <v>1620</v>
      </c>
      <c r="K361">
        <v>9180</v>
      </c>
      <c r="L361">
        <f t="shared" si="5"/>
        <v>1836</v>
      </c>
    </row>
    <row r="362" spans="1:12">
      <c r="A362">
        <v>1361</v>
      </c>
      <c r="B362" t="s">
        <v>286</v>
      </c>
      <c r="C362" t="s">
        <v>56</v>
      </c>
      <c r="D362" t="s">
        <v>32</v>
      </c>
      <c r="E362" t="s">
        <v>51</v>
      </c>
      <c r="F362">
        <v>1</v>
      </c>
      <c r="G362">
        <v>20000</v>
      </c>
      <c r="H362">
        <v>15</v>
      </c>
      <c r="I362">
        <v>20000</v>
      </c>
      <c r="J362">
        <v>3000</v>
      </c>
      <c r="K362">
        <v>17000</v>
      </c>
      <c r="L362">
        <f t="shared" si="5"/>
        <v>3400</v>
      </c>
    </row>
    <row r="363" spans="1:12">
      <c r="A363">
        <v>1362</v>
      </c>
      <c r="B363" t="s">
        <v>287</v>
      </c>
      <c r="C363" t="s">
        <v>50</v>
      </c>
      <c r="D363" t="s">
        <v>47</v>
      </c>
      <c r="E363" t="s">
        <v>75</v>
      </c>
      <c r="F363">
        <v>9</v>
      </c>
      <c r="G363">
        <v>50000</v>
      </c>
      <c r="H363">
        <v>5</v>
      </c>
      <c r="I363">
        <v>450000</v>
      </c>
      <c r="J363">
        <v>22500</v>
      </c>
      <c r="K363">
        <v>427500</v>
      </c>
      <c r="L363">
        <f t="shared" si="5"/>
        <v>85500</v>
      </c>
    </row>
    <row r="364" spans="1:12">
      <c r="A364">
        <v>1363</v>
      </c>
      <c r="B364" t="s">
        <v>288</v>
      </c>
      <c r="C364" t="s">
        <v>56</v>
      </c>
      <c r="D364" t="s">
        <v>47</v>
      </c>
      <c r="E364" t="s">
        <v>48</v>
      </c>
      <c r="F364">
        <v>5</v>
      </c>
      <c r="G364">
        <v>10000</v>
      </c>
      <c r="H364">
        <v>15</v>
      </c>
      <c r="I364">
        <v>50000</v>
      </c>
      <c r="J364">
        <v>7500</v>
      </c>
      <c r="K364">
        <v>42500</v>
      </c>
      <c r="L364">
        <f t="shared" si="5"/>
        <v>8500</v>
      </c>
    </row>
    <row r="365" spans="1:12">
      <c r="A365">
        <v>1364</v>
      </c>
      <c r="B365" t="s">
        <v>289</v>
      </c>
      <c r="C365" t="s">
        <v>66</v>
      </c>
      <c r="D365" t="s">
        <v>6</v>
      </c>
      <c r="E365" t="s">
        <v>9</v>
      </c>
      <c r="F365">
        <v>3</v>
      </c>
      <c r="G365">
        <v>50000</v>
      </c>
      <c r="H365">
        <v>2</v>
      </c>
      <c r="I365">
        <v>150000</v>
      </c>
      <c r="J365">
        <v>3000</v>
      </c>
      <c r="K365">
        <v>147000</v>
      </c>
      <c r="L365">
        <f t="shared" si="5"/>
        <v>29400</v>
      </c>
    </row>
    <row r="366" spans="1:12">
      <c r="A366">
        <v>1365</v>
      </c>
      <c r="B366" t="s">
        <v>290</v>
      </c>
      <c r="C366" t="s">
        <v>38</v>
      </c>
      <c r="D366" t="s">
        <v>32</v>
      </c>
      <c r="E366" t="s">
        <v>41</v>
      </c>
      <c r="F366">
        <v>3</v>
      </c>
      <c r="G366">
        <v>800</v>
      </c>
      <c r="H366">
        <v>2</v>
      </c>
      <c r="I366">
        <v>2400</v>
      </c>
      <c r="J366">
        <v>48</v>
      </c>
      <c r="K366">
        <v>2352</v>
      </c>
      <c r="L366">
        <f t="shared" si="5"/>
        <v>470.40000000000003</v>
      </c>
    </row>
    <row r="367" spans="1:12">
      <c r="A367">
        <v>1366</v>
      </c>
      <c r="B367" t="s">
        <v>251</v>
      </c>
      <c r="C367" t="s">
        <v>25</v>
      </c>
      <c r="D367" t="s">
        <v>6</v>
      </c>
      <c r="E367" t="s">
        <v>9</v>
      </c>
      <c r="F367">
        <v>4</v>
      </c>
      <c r="G367">
        <v>1200</v>
      </c>
      <c r="H367">
        <v>2</v>
      </c>
      <c r="I367">
        <v>4800</v>
      </c>
      <c r="J367">
        <v>96</v>
      </c>
      <c r="K367">
        <v>4704</v>
      </c>
      <c r="L367">
        <f t="shared" si="5"/>
        <v>940.80000000000007</v>
      </c>
    </row>
    <row r="368" spans="1:12">
      <c r="A368">
        <v>1367</v>
      </c>
      <c r="B368" t="s">
        <v>250</v>
      </c>
      <c r="C368" t="s">
        <v>28</v>
      </c>
      <c r="D368" t="s">
        <v>32</v>
      </c>
      <c r="E368" t="s">
        <v>41</v>
      </c>
      <c r="F368">
        <v>10</v>
      </c>
      <c r="G368">
        <v>1200</v>
      </c>
      <c r="H368">
        <v>10</v>
      </c>
      <c r="I368">
        <v>12000</v>
      </c>
      <c r="J368">
        <v>1200</v>
      </c>
      <c r="K368">
        <v>10800</v>
      </c>
      <c r="L368">
        <f t="shared" si="5"/>
        <v>2160</v>
      </c>
    </row>
    <row r="369" spans="1:12">
      <c r="A369">
        <v>1368</v>
      </c>
      <c r="B369" t="s">
        <v>291</v>
      </c>
      <c r="C369" t="s">
        <v>70</v>
      </c>
      <c r="D369" t="s">
        <v>47</v>
      </c>
      <c r="E369" t="s">
        <v>75</v>
      </c>
      <c r="F369">
        <v>9</v>
      </c>
      <c r="G369">
        <v>2500</v>
      </c>
      <c r="H369">
        <v>2</v>
      </c>
      <c r="I369">
        <v>22500</v>
      </c>
      <c r="J369">
        <v>450</v>
      </c>
      <c r="K369">
        <v>22050</v>
      </c>
      <c r="L369">
        <f t="shared" si="5"/>
        <v>4410</v>
      </c>
    </row>
    <row r="370" spans="1:12">
      <c r="A370">
        <v>1369</v>
      </c>
      <c r="B370" t="s">
        <v>90</v>
      </c>
      <c r="C370" t="s">
        <v>66</v>
      </c>
      <c r="D370" t="s">
        <v>32</v>
      </c>
      <c r="E370" t="s">
        <v>33</v>
      </c>
      <c r="F370">
        <v>5</v>
      </c>
      <c r="G370">
        <v>10000</v>
      </c>
      <c r="H370">
        <v>15</v>
      </c>
      <c r="I370">
        <v>50000</v>
      </c>
      <c r="J370">
        <v>7500</v>
      </c>
      <c r="K370">
        <v>42500</v>
      </c>
      <c r="L370">
        <f t="shared" si="5"/>
        <v>8500</v>
      </c>
    </row>
    <row r="371" spans="1:12">
      <c r="A371">
        <v>1370</v>
      </c>
      <c r="B371" t="s">
        <v>143</v>
      </c>
      <c r="C371" t="s">
        <v>70</v>
      </c>
      <c r="D371" t="s">
        <v>47</v>
      </c>
      <c r="E371" t="s">
        <v>75</v>
      </c>
      <c r="F371">
        <v>4</v>
      </c>
      <c r="G371">
        <v>5000</v>
      </c>
      <c r="H371">
        <v>5</v>
      </c>
      <c r="I371">
        <v>20000</v>
      </c>
      <c r="J371">
        <v>1000</v>
      </c>
      <c r="K371">
        <v>19000</v>
      </c>
      <c r="L371">
        <f t="shared" si="5"/>
        <v>3800</v>
      </c>
    </row>
    <row r="372" spans="1:12">
      <c r="A372">
        <v>1371</v>
      </c>
      <c r="B372" t="s">
        <v>190</v>
      </c>
      <c r="C372" t="s">
        <v>46</v>
      </c>
      <c r="D372" t="s">
        <v>32</v>
      </c>
      <c r="E372" t="s">
        <v>41</v>
      </c>
      <c r="F372">
        <v>3</v>
      </c>
      <c r="G372">
        <v>800</v>
      </c>
      <c r="H372">
        <v>2</v>
      </c>
      <c r="I372">
        <v>2400</v>
      </c>
      <c r="J372">
        <v>48</v>
      </c>
      <c r="K372">
        <v>2352</v>
      </c>
      <c r="L372">
        <f t="shared" si="5"/>
        <v>470.40000000000003</v>
      </c>
    </row>
    <row r="373" spans="1:12">
      <c r="A373">
        <v>1372</v>
      </c>
      <c r="B373" t="s">
        <v>91</v>
      </c>
      <c r="C373" t="s">
        <v>70</v>
      </c>
      <c r="D373" t="s">
        <v>47</v>
      </c>
      <c r="E373" t="s">
        <v>71</v>
      </c>
      <c r="F373">
        <v>4</v>
      </c>
      <c r="G373">
        <v>800</v>
      </c>
      <c r="H373">
        <v>5</v>
      </c>
      <c r="I373">
        <v>3200</v>
      </c>
      <c r="J373">
        <v>160</v>
      </c>
      <c r="K373">
        <v>3040</v>
      </c>
      <c r="L373">
        <f t="shared" si="5"/>
        <v>608</v>
      </c>
    </row>
    <row r="374" spans="1:12">
      <c r="A374">
        <v>1373</v>
      </c>
      <c r="B374" t="s">
        <v>188</v>
      </c>
      <c r="C374" t="s">
        <v>50</v>
      </c>
      <c r="D374" t="s">
        <v>32</v>
      </c>
      <c r="E374" t="s">
        <v>33</v>
      </c>
      <c r="F374">
        <v>8</v>
      </c>
      <c r="G374">
        <v>10000</v>
      </c>
      <c r="H374">
        <v>2</v>
      </c>
      <c r="I374">
        <v>80000</v>
      </c>
      <c r="J374">
        <v>1600</v>
      </c>
      <c r="K374">
        <v>78400</v>
      </c>
      <c r="L374">
        <f t="shared" si="5"/>
        <v>15680</v>
      </c>
    </row>
    <row r="375" spans="1:12">
      <c r="A375">
        <v>1374</v>
      </c>
      <c r="B375" t="s">
        <v>292</v>
      </c>
      <c r="C375" t="s">
        <v>21</v>
      </c>
      <c r="D375" t="s">
        <v>32</v>
      </c>
      <c r="E375" t="s">
        <v>51</v>
      </c>
      <c r="F375">
        <v>4</v>
      </c>
      <c r="G375">
        <v>2500</v>
      </c>
      <c r="H375">
        <v>0</v>
      </c>
      <c r="I375">
        <v>10000</v>
      </c>
      <c r="J375">
        <v>0</v>
      </c>
      <c r="K375">
        <v>10000</v>
      </c>
      <c r="L375">
        <f t="shared" si="5"/>
        <v>2000</v>
      </c>
    </row>
    <row r="376" spans="1:12">
      <c r="A376">
        <v>1375</v>
      </c>
      <c r="B376" t="s">
        <v>293</v>
      </c>
      <c r="C376" t="s">
        <v>70</v>
      </c>
      <c r="D376" t="s">
        <v>47</v>
      </c>
      <c r="E376" t="s">
        <v>71</v>
      </c>
      <c r="F376">
        <v>3</v>
      </c>
      <c r="G376">
        <v>2500</v>
      </c>
      <c r="H376">
        <v>2</v>
      </c>
      <c r="I376">
        <v>7500</v>
      </c>
      <c r="J376">
        <v>150</v>
      </c>
      <c r="K376">
        <v>7350</v>
      </c>
      <c r="L376">
        <f t="shared" si="5"/>
        <v>1470</v>
      </c>
    </row>
    <row r="377" spans="1:12">
      <c r="A377">
        <v>1376</v>
      </c>
      <c r="B377" t="s">
        <v>67</v>
      </c>
      <c r="C377" t="s">
        <v>21</v>
      </c>
      <c r="D377" t="s">
        <v>47</v>
      </c>
      <c r="E377" t="s">
        <v>48</v>
      </c>
      <c r="F377">
        <v>6</v>
      </c>
      <c r="G377">
        <v>20000</v>
      </c>
      <c r="H377">
        <v>5</v>
      </c>
      <c r="I377">
        <v>120000</v>
      </c>
      <c r="J377">
        <v>6000</v>
      </c>
      <c r="K377">
        <v>114000</v>
      </c>
      <c r="L377">
        <f t="shared" si="5"/>
        <v>22800</v>
      </c>
    </row>
    <row r="378" spans="1:12">
      <c r="A378">
        <v>1377</v>
      </c>
      <c r="B378" t="s">
        <v>274</v>
      </c>
      <c r="C378" t="s">
        <v>28</v>
      </c>
      <c r="D378" t="s">
        <v>32</v>
      </c>
      <c r="E378" t="s">
        <v>41</v>
      </c>
      <c r="F378">
        <v>4</v>
      </c>
      <c r="G378">
        <v>500</v>
      </c>
      <c r="H378">
        <v>0</v>
      </c>
      <c r="I378">
        <v>2000</v>
      </c>
      <c r="J378">
        <v>0</v>
      </c>
      <c r="K378">
        <v>2000</v>
      </c>
      <c r="L378">
        <f t="shared" si="5"/>
        <v>400</v>
      </c>
    </row>
    <row r="379" spans="1:12">
      <c r="A379">
        <v>1378</v>
      </c>
      <c r="B379" t="s">
        <v>294</v>
      </c>
      <c r="C379" t="s">
        <v>58</v>
      </c>
      <c r="D379" t="s">
        <v>47</v>
      </c>
      <c r="E379" t="s">
        <v>71</v>
      </c>
      <c r="F379">
        <v>4</v>
      </c>
      <c r="G379">
        <v>10000</v>
      </c>
      <c r="H379">
        <v>2</v>
      </c>
      <c r="I379">
        <v>40000</v>
      </c>
      <c r="J379">
        <v>800</v>
      </c>
      <c r="K379">
        <v>39200</v>
      </c>
      <c r="L379">
        <f t="shared" si="5"/>
        <v>7840</v>
      </c>
    </row>
    <row r="380" spans="1:12">
      <c r="A380">
        <v>1379</v>
      </c>
      <c r="B380" t="s">
        <v>242</v>
      </c>
      <c r="C380" t="s">
        <v>56</v>
      </c>
      <c r="D380" t="s">
        <v>32</v>
      </c>
      <c r="E380" t="s">
        <v>41</v>
      </c>
      <c r="F380">
        <v>3</v>
      </c>
      <c r="G380">
        <v>20000</v>
      </c>
      <c r="H380">
        <v>10</v>
      </c>
      <c r="I380">
        <v>60000</v>
      </c>
      <c r="J380">
        <v>6000</v>
      </c>
      <c r="K380">
        <v>54000</v>
      </c>
      <c r="L380">
        <f t="shared" si="5"/>
        <v>10800</v>
      </c>
    </row>
    <row r="381" spans="1:12">
      <c r="A381">
        <v>1380</v>
      </c>
      <c r="B381" t="s">
        <v>31</v>
      </c>
      <c r="C381" t="s">
        <v>21</v>
      </c>
      <c r="D381" t="s">
        <v>32</v>
      </c>
      <c r="E381" t="s">
        <v>41</v>
      </c>
      <c r="F381">
        <v>2</v>
      </c>
      <c r="G381">
        <v>500</v>
      </c>
      <c r="H381">
        <v>0</v>
      </c>
      <c r="I381">
        <v>1000</v>
      </c>
      <c r="J381">
        <v>0</v>
      </c>
      <c r="K381">
        <v>1000</v>
      </c>
      <c r="L381">
        <f t="shared" si="5"/>
        <v>200</v>
      </c>
    </row>
    <row r="382" spans="1:12">
      <c r="A382">
        <v>1381</v>
      </c>
      <c r="B382" t="s">
        <v>165</v>
      </c>
      <c r="C382" t="s">
        <v>21</v>
      </c>
      <c r="D382" t="s">
        <v>47</v>
      </c>
      <c r="E382" t="s">
        <v>75</v>
      </c>
      <c r="F382">
        <v>1</v>
      </c>
      <c r="G382">
        <v>10000</v>
      </c>
      <c r="H382">
        <v>2</v>
      </c>
      <c r="I382">
        <v>10000</v>
      </c>
      <c r="J382">
        <v>200</v>
      </c>
      <c r="K382">
        <v>9800</v>
      </c>
      <c r="L382">
        <f t="shared" si="5"/>
        <v>1960</v>
      </c>
    </row>
    <row r="383" spans="1:12">
      <c r="A383">
        <v>1382</v>
      </c>
      <c r="B383" t="s">
        <v>117</v>
      </c>
      <c r="C383" t="s">
        <v>28</v>
      </c>
      <c r="D383" t="s">
        <v>47</v>
      </c>
      <c r="E383" t="s">
        <v>75</v>
      </c>
      <c r="F383">
        <v>7</v>
      </c>
      <c r="G383">
        <v>50000</v>
      </c>
      <c r="H383">
        <v>0</v>
      </c>
      <c r="I383">
        <v>350000</v>
      </c>
      <c r="J383">
        <v>0</v>
      </c>
      <c r="K383">
        <v>350000</v>
      </c>
      <c r="L383">
        <f t="shared" si="5"/>
        <v>70000</v>
      </c>
    </row>
    <row r="384" spans="1:12">
      <c r="A384">
        <v>1383</v>
      </c>
      <c r="B384" t="s">
        <v>99</v>
      </c>
      <c r="C384" t="s">
        <v>56</v>
      </c>
      <c r="D384" t="s">
        <v>6</v>
      </c>
      <c r="E384" t="s">
        <v>22</v>
      </c>
      <c r="F384">
        <v>7</v>
      </c>
      <c r="G384">
        <v>500</v>
      </c>
      <c r="H384">
        <v>10</v>
      </c>
      <c r="I384">
        <v>3500</v>
      </c>
      <c r="J384">
        <v>350</v>
      </c>
      <c r="K384">
        <v>3150</v>
      </c>
      <c r="L384">
        <f t="shared" si="5"/>
        <v>630</v>
      </c>
    </row>
    <row r="385" spans="1:12">
      <c r="A385">
        <v>1384</v>
      </c>
      <c r="B385" t="s">
        <v>295</v>
      </c>
      <c r="C385" t="s">
        <v>38</v>
      </c>
      <c r="D385" t="s">
        <v>32</v>
      </c>
      <c r="E385" t="s">
        <v>41</v>
      </c>
      <c r="F385">
        <v>8</v>
      </c>
      <c r="G385">
        <v>5000</v>
      </c>
      <c r="H385">
        <v>10</v>
      </c>
      <c r="I385">
        <v>40000</v>
      </c>
      <c r="J385">
        <v>4000</v>
      </c>
      <c r="K385">
        <v>36000</v>
      </c>
      <c r="L385">
        <f t="shared" si="5"/>
        <v>7200</v>
      </c>
    </row>
    <row r="386" spans="1:12">
      <c r="A386">
        <v>1385</v>
      </c>
      <c r="B386" t="s">
        <v>296</v>
      </c>
      <c r="C386" t="s">
        <v>38</v>
      </c>
      <c r="D386" t="s">
        <v>6</v>
      </c>
      <c r="E386" t="s">
        <v>29</v>
      </c>
      <c r="F386">
        <v>2</v>
      </c>
      <c r="G386">
        <v>500</v>
      </c>
      <c r="H386">
        <v>5</v>
      </c>
      <c r="I386">
        <v>1000</v>
      </c>
      <c r="J386">
        <v>50</v>
      </c>
      <c r="K386">
        <v>950</v>
      </c>
      <c r="L386">
        <f t="shared" ref="L386:L449" si="6">K386*20%</f>
        <v>190</v>
      </c>
    </row>
    <row r="387" spans="1:12">
      <c r="A387">
        <v>1386</v>
      </c>
      <c r="B387" t="s">
        <v>266</v>
      </c>
      <c r="C387" t="s">
        <v>21</v>
      </c>
      <c r="D387" t="s">
        <v>47</v>
      </c>
      <c r="E387" t="s">
        <v>75</v>
      </c>
      <c r="F387">
        <v>2</v>
      </c>
      <c r="G387">
        <v>500</v>
      </c>
      <c r="H387">
        <v>15</v>
      </c>
      <c r="I387">
        <v>1000</v>
      </c>
      <c r="J387">
        <v>150</v>
      </c>
      <c r="K387">
        <v>850</v>
      </c>
      <c r="L387">
        <f t="shared" si="6"/>
        <v>170</v>
      </c>
    </row>
    <row r="388" spans="1:12">
      <c r="A388">
        <v>1387</v>
      </c>
      <c r="B388" t="s">
        <v>227</v>
      </c>
      <c r="C388" t="s">
        <v>56</v>
      </c>
      <c r="D388" t="s">
        <v>47</v>
      </c>
      <c r="E388" t="s">
        <v>71</v>
      </c>
      <c r="F388">
        <v>10</v>
      </c>
      <c r="G388">
        <v>5000</v>
      </c>
      <c r="H388">
        <v>15</v>
      </c>
      <c r="I388">
        <v>50000</v>
      </c>
      <c r="J388">
        <v>7500</v>
      </c>
      <c r="K388">
        <v>42500</v>
      </c>
      <c r="L388">
        <f t="shared" si="6"/>
        <v>8500</v>
      </c>
    </row>
    <row r="389" spans="1:12">
      <c r="A389">
        <v>1388</v>
      </c>
      <c r="B389" t="s">
        <v>61</v>
      </c>
      <c r="C389" t="s">
        <v>46</v>
      </c>
      <c r="D389" t="s">
        <v>32</v>
      </c>
      <c r="E389" t="s">
        <v>51</v>
      </c>
      <c r="F389">
        <v>5</v>
      </c>
      <c r="G389">
        <v>50000</v>
      </c>
      <c r="H389">
        <v>2</v>
      </c>
      <c r="I389">
        <v>250000</v>
      </c>
      <c r="J389">
        <v>5000</v>
      </c>
      <c r="K389">
        <v>245000</v>
      </c>
      <c r="L389">
        <f t="shared" si="6"/>
        <v>49000</v>
      </c>
    </row>
    <row r="390" spans="1:12">
      <c r="A390">
        <v>1389</v>
      </c>
      <c r="B390" t="s">
        <v>297</v>
      </c>
      <c r="C390" t="s">
        <v>25</v>
      </c>
      <c r="D390" t="s">
        <v>32</v>
      </c>
      <c r="E390" t="s">
        <v>41</v>
      </c>
      <c r="F390">
        <v>2</v>
      </c>
      <c r="G390">
        <v>1200</v>
      </c>
      <c r="H390">
        <v>2</v>
      </c>
      <c r="I390">
        <v>2400</v>
      </c>
      <c r="J390">
        <v>48</v>
      </c>
      <c r="K390">
        <v>2352</v>
      </c>
      <c r="L390">
        <f t="shared" si="6"/>
        <v>470.40000000000003</v>
      </c>
    </row>
    <row r="391" spans="1:12">
      <c r="A391">
        <v>1390</v>
      </c>
      <c r="B391" t="s">
        <v>298</v>
      </c>
      <c r="C391" t="s">
        <v>28</v>
      </c>
      <c r="D391" t="s">
        <v>47</v>
      </c>
      <c r="E391" t="s">
        <v>48</v>
      </c>
      <c r="F391">
        <v>5</v>
      </c>
      <c r="G391">
        <v>2500</v>
      </c>
      <c r="H391">
        <v>2</v>
      </c>
      <c r="I391">
        <v>12500</v>
      </c>
      <c r="J391">
        <v>250</v>
      </c>
      <c r="K391">
        <v>12250</v>
      </c>
      <c r="L391">
        <f t="shared" si="6"/>
        <v>2450</v>
      </c>
    </row>
    <row r="392" spans="1:12">
      <c r="A392">
        <v>1391</v>
      </c>
      <c r="B392" t="s">
        <v>165</v>
      </c>
      <c r="C392" t="s">
        <v>66</v>
      </c>
      <c r="D392" t="s">
        <v>6</v>
      </c>
      <c r="E392" t="s">
        <v>22</v>
      </c>
      <c r="F392">
        <v>10</v>
      </c>
      <c r="G392">
        <v>800</v>
      </c>
      <c r="H392">
        <v>5</v>
      </c>
      <c r="I392">
        <v>8000</v>
      </c>
      <c r="J392">
        <v>400</v>
      </c>
      <c r="K392">
        <v>7600</v>
      </c>
      <c r="L392">
        <f t="shared" si="6"/>
        <v>1520</v>
      </c>
    </row>
    <row r="393" spans="1:12">
      <c r="A393">
        <v>1392</v>
      </c>
      <c r="B393" t="s">
        <v>200</v>
      </c>
      <c r="C393" t="s">
        <v>56</v>
      </c>
      <c r="D393" t="s">
        <v>47</v>
      </c>
      <c r="E393" t="s">
        <v>75</v>
      </c>
      <c r="F393">
        <v>1</v>
      </c>
      <c r="G393">
        <v>50000</v>
      </c>
      <c r="H393">
        <v>5</v>
      </c>
      <c r="I393">
        <v>50000</v>
      </c>
      <c r="J393">
        <v>2500</v>
      </c>
      <c r="K393">
        <v>47500</v>
      </c>
      <c r="L393">
        <f t="shared" si="6"/>
        <v>9500</v>
      </c>
    </row>
    <row r="394" spans="1:12">
      <c r="A394">
        <v>1393</v>
      </c>
      <c r="B394" t="s">
        <v>299</v>
      </c>
      <c r="C394" t="s">
        <v>38</v>
      </c>
      <c r="D394" t="s">
        <v>47</v>
      </c>
      <c r="E394" t="s">
        <v>75</v>
      </c>
      <c r="F394">
        <v>7</v>
      </c>
      <c r="G394">
        <v>5000</v>
      </c>
      <c r="H394">
        <v>2</v>
      </c>
      <c r="I394">
        <v>35000</v>
      </c>
      <c r="J394">
        <v>700</v>
      </c>
      <c r="K394">
        <v>34300</v>
      </c>
      <c r="L394">
        <f t="shared" si="6"/>
        <v>6860</v>
      </c>
    </row>
    <row r="395" spans="1:12">
      <c r="A395">
        <v>1394</v>
      </c>
      <c r="B395" t="s">
        <v>187</v>
      </c>
      <c r="C395" t="s">
        <v>25</v>
      </c>
      <c r="D395" t="s">
        <v>6</v>
      </c>
      <c r="E395" t="s">
        <v>9</v>
      </c>
      <c r="F395">
        <v>9</v>
      </c>
      <c r="G395">
        <v>800</v>
      </c>
      <c r="H395">
        <v>10</v>
      </c>
      <c r="I395">
        <v>7200</v>
      </c>
      <c r="J395">
        <v>720</v>
      </c>
      <c r="K395">
        <v>6480</v>
      </c>
      <c r="L395">
        <f t="shared" si="6"/>
        <v>1296</v>
      </c>
    </row>
    <row r="396" spans="1:12">
      <c r="A396">
        <v>1395</v>
      </c>
      <c r="B396" t="s">
        <v>225</v>
      </c>
      <c r="C396" t="s">
        <v>21</v>
      </c>
      <c r="D396" t="s">
        <v>6</v>
      </c>
      <c r="E396" t="s">
        <v>9</v>
      </c>
      <c r="F396">
        <v>1</v>
      </c>
      <c r="G396">
        <v>500</v>
      </c>
      <c r="H396">
        <v>5</v>
      </c>
      <c r="I396">
        <v>500</v>
      </c>
      <c r="J396">
        <v>25</v>
      </c>
      <c r="K396">
        <v>475</v>
      </c>
      <c r="L396">
        <f t="shared" si="6"/>
        <v>95</v>
      </c>
    </row>
    <row r="397" spans="1:12">
      <c r="A397">
        <v>1396</v>
      </c>
      <c r="B397" t="s">
        <v>300</v>
      </c>
      <c r="C397" t="s">
        <v>38</v>
      </c>
      <c r="D397" t="s">
        <v>6</v>
      </c>
      <c r="E397" t="s">
        <v>22</v>
      </c>
      <c r="F397">
        <v>1</v>
      </c>
      <c r="G397">
        <v>500</v>
      </c>
      <c r="H397">
        <v>5</v>
      </c>
      <c r="I397">
        <v>500</v>
      </c>
      <c r="J397">
        <v>25</v>
      </c>
      <c r="K397">
        <v>475</v>
      </c>
      <c r="L397">
        <f t="shared" si="6"/>
        <v>95</v>
      </c>
    </row>
    <row r="398" spans="1:12">
      <c r="A398">
        <v>1397</v>
      </c>
      <c r="B398" t="s">
        <v>266</v>
      </c>
      <c r="C398" t="s">
        <v>58</v>
      </c>
      <c r="D398" t="s">
        <v>32</v>
      </c>
      <c r="E398" t="s">
        <v>33</v>
      </c>
      <c r="F398">
        <v>1</v>
      </c>
      <c r="G398">
        <v>50000</v>
      </c>
      <c r="H398">
        <v>10</v>
      </c>
      <c r="I398">
        <v>50000</v>
      </c>
      <c r="J398">
        <v>5000</v>
      </c>
      <c r="K398">
        <v>45000</v>
      </c>
      <c r="L398">
        <f t="shared" si="6"/>
        <v>9000</v>
      </c>
    </row>
    <row r="399" spans="1:12">
      <c r="A399">
        <v>1398</v>
      </c>
      <c r="B399" t="s">
        <v>301</v>
      </c>
      <c r="C399" t="s">
        <v>38</v>
      </c>
      <c r="D399" t="s">
        <v>32</v>
      </c>
      <c r="E399" t="s">
        <v>51</v>
      </c>
      <c r="F399">
        <v>6</v>
      </c>
      <c r="G399">
        <v>50000</v>
      </c>
      <c r="H399">
        <v>5</v>
      </c>
      <c r="I399">
        <v>300000</v>
      </c>
      <c r="J399">
        <v>15000</v>
      </c>
      <c r="K399">
        <v>285000</v>
      </c>
      <c r="L399">
        <f t="shared" si="6"/>
        <v>57000</v>
      </c>
    </row>
    <row r="400" spans="1:12">
      <c r="A400">
        <v>1399</v>
      </c>
      <c r="B400" t="s">
        <v>108</v>
      </c>
      <c r="C400" t="s">
        <v>58</v>
      </c>
      <c r="D400" t="s">
        <v>6</v>
      </c>
      <c r="E400" t="s">
        <v>29</v>
      </c>
      <c r="F400">
        <v>2</v>
      </c>
      <c r="G400">
        <v>50000</v>
      </c>
      <c r="H400">
        <v>10</v>
      </c>
      <c r="I400">
        <v>100000</v>
      </c>
      <c r="J400">
        <v>10000</v>
      </c>
      <c r="K400">
        <v>90000</v>
      </c>
      <c r="L400">
        <f t="shared" si="6"/>
        <v>18000</v>
      </c>
    </row>
    <row r="401" spans="1:12">
      <c r="A401">
        <v>1400</v>
      </c>
      <c r="B401" t="s">
        <v>302</v>
      </c>
      <c r="C401" t="s">
        <v>46</v>
      </c>
      <c r="D401" t="s">
        <v>32</v>
      </c>
      <c r="E401" t="s">
        <v>33</v>
      </c>
      <c r="F401">
        <v>5</v>
      </c>
      <c r="G401">
        <v>20000</v>
      </c>
      <c r="H401">
        <v>10</v>
      </c>
      <c r="I401">
        <v>100000</v>
      </c>
      <c r="J401">
        <v>10000</v>
      </c>
      <c r="K401">
        <v>90000</v>
      </c>
      <c r="L401">
        <f t="shared" si="6"/>
        <v>18000</v>
      </c>
    </row>
    <row r="402" spans="1:12">
      <c r="A402">
        <v>1401</v>
      </c>
      <c r="B402" t="s">
        <v>303</v>
      </c>
      <c r="C402" t="s">
        <v>58</v>
      </c>
      <c r="D402" t="s">
        <v>47</v>
      </c>
      <c r="E402" t="s">
        <v>71</v>
      </c>
      <c r="F402">
        <v>8</v>
      </c>
      <c r="G402">
        <v>50000</v>
      </c>
      <c r="H402">
        <v>2</v>
      </c>
      <c r="I402">
        <v>400000</v>
      </c>
      <c r="J402">
        <v>8000</v>
      </c>
      <c r="K402">
        <v>392000</v>
      </c>
      <c r="L402">
        <f t="shared" si="6"/>
        <v>78400</v>
      </c>
    </row>
    <row r="403" spans="1:12">
      <c r="A403">
        <v>1402</v>
      </c>
      <c r="B403" t="s">
        <v>166</v>
      </c>
      <c r="C403" t="s">
        <v>38</v>
      </c>
      <c r="D403" t="s">
        <v>47</v>
      </c>
      <c r="E403" t="s">
        <v>48</v>
      </c>
      <c r="F403">
        <v>5</v>
      </c>
      <c r="G403">
        <v>2500</v>
      </c>
      <c r="H403">
        <v>15</v>
      </c>
      <c r="I403">
        <v>12500</v>
      </c>
      <c r="J403">
        <v>1875</v>
      </c>
      <c r="K403">
        <v>10625</v>
      </c>
      <c r="L403">
        <f t="shared" si="6"/>
        <v>2125</v>
      </c>
    </row>
    <row r="404" spans="1:12">
      <c r="A404">
        <v>1403</v>
      </c>
      <c r="B404" t="s">
        <v>304</v>
      </c>
      <c r="C404" t="s">
        <v>70</v>
      </c>
      <c r="D404" t="s">
        <v>47</v>
      </c>
      <c r="E404" t="s">
        <v>71</v>
      </c>
      <c r="F404">
        <v>1</v>
      </c>
      <c r="G404">
        <v>1200</v>
      </c>
      <c r="H404">
        <v>5</v>
      </c>
      <c r="I404">
        <v>1200</v>
      </c>
      <c r="J404">
        <v>60</v>
      </c>
      <c r="K404">
        <v>1140</v>
      </c>
      <c r="L404">
        <f t="shared" si="6"/>
        <v>228</v>
      </c>
    </row>
    <row r="405" spans="1:12">
      <c r="A405">
        <v>1404</v>
      </c>
      <c r="B405" t="s">
        <v>156</v>
      </c>
      <c r="C405" t="s">
        <v>25</v>
      </c>
      <c r="D405" t="s">
        <v>47</v>
      </c>
      <c r="E405" t="s">
        <v>48</v>
      </c>
      <c r="F405">
        <v>8</v>
      </c>
      <c r="G405">
        <v>1200</v>
      </c>
      <c r="H405">
        <v>0</v>
      </c>
      <c r="I405">
        <v>9600</v>
      </c>
      <c r="J405">
        <v>0</v>
      </c>
      <c r="K405">
        <v>9600</v>
      </c>
      <c r="L405">
        <f t="shared" si="6"/>
        <v>1920</v>
      </c>
    </row>
    <row r="406" spans="1:12">
      <c r="A406">
        <v>1405</v>
      </c>
      <c r="B406" t="s">
        <v>86</v>
      </c>
      <c r="C406" t="s">
        <v>50</v>
      </c>
      <c r="D406" t="s">
        <v>6</v>
      </c>
      <c r="E406" t="s">
        <v>29</v>
      </c>
      <c r="F406">
        <v>3</v>
      </c>
      <c r="G406">
        <v>20000</v>
      </c>
      <c r="H406">
        <v>5</v>
      </c>
      <c r="I406">
        <v>60000</v>
      </c>
      <c r="J406">
        <v>3000</v>
      </c>
      <c r="K406">
        <v>57000</v>
      </c>
      <c r="L406">
        <f t="shared" si="6"/>
        <v>11400</v>
      </c>
    </row>
    <row r="407" spans="1:12">
      <c r="A407">
        <v>1406</v>
      </c>
      <c r="B407" t="s">
        <v>298</v>
      </c>
      <c r="C407" t="s">
        <v>58</v>
      </c>
      <c r="D407" t="s">
        <v>32</v>
      </c>
      <c r="E407" t="s">
        <v>41</v>
      </c>
      <c r="F407">
        <v>3</v>
      </c>
      <c r="G407">
        <v>50000</v>
      </c>
      <c r="H407">
        <v>0</v>
      </c>
      <c r="I407">
        <v>150000</v>
      </c>
      <c r="J407">
        <v>0</v>
      </c>
      <c r="K407">
        <v>150000</v>
      </c>
      <c r="L407">
        <f t="shared" si="6"/>
        <v>30000</v>
      </c>
    </row>
    <row r="408" spans="1:12">
      <c r="A408">
        <v>1407</v>
      </c>
      <c r="B408" t="s">
        <v>305</v>
      </c>
      <c r="C408" t="s">
        <v>58</v>
      </c>
      <c r="D408" t="s">
        <v>32</v>
      </c>
      <c r="E408" t="s">
        <v>33</v>
      </c>
      <c r="F408">
        <v>7</v>
      </c>
      <c r="G408">
        <v>50000</v>
      </c>
      <c r="H408">
        <v>15</v>
      </c>
      <c r="I408">
        <v>350000</v>
      </c>
      <c r="J408">
        <v>52500</v>
      </c>
      <c r="K408">
        <v>297500</v>
      </c>
      <c r="L408">
        <f t="shared" si="6"/>
        <v>59500</v>
      </c>
    </row>
    <row r="409" spans="1:12">
      <c r="A409">
        <v>1408</v>
      </c>
      <c r="B409" t="s">
        <v>306</v>
      </c>
      <c r="C409" t="s">
        <v>56</v>
      </c>
      <c r="D409" t="s">
        <v>47</v>
      </c>
      <c r="E409" t="s">
        <v>48</v>
      </c>
      <c r="F409">
        <v>10</v>
      </c>
      <c r="G409">
        <v>2500</v>
      </c>
      <c r="H409">
        <v>15</v>
      </c>
      <c r="I409">
        <v>25000</v>
      </c>
      <c r="J409">
        <v>3750</v>
      </c>
      <c r="K409">
        <v>21250</v>
      </c>
      <c r="L409">
        <f t="shared" si="6"/>
        <v>4250</v>
      </c>
    </row>
    <row r="410" spans="1:12">
      <c r="A410">
        <v>1409</v>
      </c>
      <c r="B410" t="s">
        <v>307</v>
      </c>
      <c r="C410" t="s">
        <v>58</v>
      </c>
      <c r="D410" t="s">
        <v>6</v>
      </c>
      <c r="E410" t="s">
        <v>9</v>
      </c>
      <c r="F410">
        <v>9</v>
      </c>
      <c r="G410">
        <v>800</v>
      </c>
      <c r="H410">
        <v>10</v>
      </c>
      <c r="I410">
        <v>7200</v>
      </c>
      <c r="J410">
        <v>720</v>
      </c>
      <c r="K410">
        <v>6480</v>
      </c>
      <c r="L410">
        <f t="shared" si="6"/>
        <v>1296</v>
      </c>
    </row>
    <row r="411" spans="1:12">
      <c r="A411">
        <v>1410</v>
      </c>
      <c r="B411" t="s">
        <v>89</v>
      </c>
      <c r="C411" t="s">
        <v>50</v>
      </c>
      <c r="D411" t="s">
        <v>47</v>
      </c>
      <c r="E411" t="s">
        <v>71</v>
      </c>
      <c r="F411">
        <v>7</v>
      </c>
      <c r="G411">
        <v>20000</v>
      </c>
      <c r="H411">
        <v>10</v>
      </c>
      <c r="I411">
        <v>140000</v>
      </c>
      <c r="J411">
        <v>14000</v>
      </c>
      <c r="K411">
        <v>126000</v>
      </c>
      <c r="L411">
        <f t="shared" si="6"/>
        <v>25200</v>
      </c>
    </row>
    <row r="412" spans="1:12">
      <c r="A412">
        <v>1411</v>
      </c>
      <c r="B412" t="s">
        <v>274</v>
      </c>
      <c r="C412" t="s">
        <v>28</v>
      </c>
      <c r="D412" t="s">
        <v>32</v>
      </c>
      <c r="E412" t="s">
        <v>41</v>
      </c>
      <c r="F412">
        <v>8</v>
      </c>
      <c r="G412">
        <v>10000</v>
      </c>
      <c r="H412">
        <v>15</v>
      </c>
      <c r="I412">
        <v>80000</v>
      </c>
      <c r="J412">
        <v>12000</v>
      </c>
      <c r="K412">
        <v>68000</v>
      </c>
      <c r="L412">
        <f t="shared" si="6"/>
        <v>13600</v>
      </c>
    </row>
    <row r="413" spans="1:12">
      <c r="A413">
        <v>1412</v>
      </c>
      <c r="B413" t="s">
        <v>308</v>
      </c>
      <c r="C413" t="s">
        <v>70</v>
      </c>
      <c r="D413" t="s">
        <v>32</v>
      </c>
      <c r="E413" t="s">
        <v>41</v>
      </c>
      <c r="F413">
        <v>2</v>
      </c>
      <c r="G413">
        <v>1200</v>
      </c>
      <c r="H413">
        <v>5</v>
      </c>
      <c r="I413">
        <v>2400</v>
      </c>
      <c r="J413">
        <v>120</v>
      </c>
      <c r="K413">
        <v>2280</v>
      </c>
      <c r="L413">
        <f t="shared" si="6"/>
        <v>456</v>
      </c>
    </row>
    <row r="414" spans="1:12">
      <c r="A414">
        <v>1413</v>
      </c>
      <c r="B414" t="s">
        <v>309</v>
      </c>
      <c r="C414" t="s">
        <v>56</v>
      </c>
      <c r="D414" t="s">
        <v>47</v>
      </c>
      <c r="E414" t="s">
        <v>75</v>
      </c>
      <c r="F414">
        <v>5</v>
      </c>
      <c r="G414">
        <v>800</v>
      </c>
      <c r="H414">
        <v>15</v>
      </c>
      <c r="I414">
        <v>4000</v>
      </c>
      <c r="J414">
        <v>600</v>
      </c>
      <c r="K414">
        <v>3400</v>
      </c>
      <c r="L414">
        <f t="shared" si="6"/>
        <v>680</v>
      </c>
    </row>
    <row r="415" spans="1:12">
      <c r="A415">
        <v>1414</v>
      </c>
      <c r="B415" t="s">
        <v>179</v>
      </c>
      <c r="C415" t="s">
        <v>66</v>
      </c>
      <c r="D415" t="s">
        <v>32</v>
      </c>
      <c r="E415" t="s">
        <v>51</v>
      </c>
      <c r="F415">
        <v>10</v>
      </c>
      <c r="G415">
        <v>50000</v>
      </c>
      <c r="H415">
        <v>0</v>
      </c>
      <c r="I415">
        <v>500000</v>
      </c>
      <c r="J415">
        <v>0</v>
      </c>
      <c r="K415">
        <v>500000</v>
      </c>
      <c r="L415">
        <f t="shared" si="6"/>
        <v>100000</v>
      </c>
    </row>
    <row r="416" spans="1:12">
      <c r="A416">
        <v>1415</v>
      </c>
      <c r="B416" t="s">
        <v>72</v>
      </c>
      <c r="C416" t="s">
        <v>25</v>
      </c>
      <c r="D416" t="s">
        <v>6</v>
      </c>
      <c r="E416" t="s">
        <v>9</v>
      </c>
      <c r="F416">
        <v>2</v>
      </c>
      <c r="G416">
        <v>50000</v>
      </c>
      <c r="H416">
        <v>10</v>
      </c>
      <c r="I416">
        <v>100000</v>
      </c>
      <c r="J416">
        <v>10000</v>
      </c>
      <c r="K416">
        <v>90000</v>
      </c>
      <c r="L416">
        <f t="shared" si="6"/>
        <v>18000</v>
      </c>
    </row>
    <row r="417" spans="1:12">
      <c r="A417">
        <v>1416</v>
      </c>
      <c r="B417" t="s">
        <v>189</v>
      </c>
      <c r="C417" t="s">
        <v>25</v>
      </c>
      <c r="D417" t="s">
        <v>6</v>
      </c>
      <c r="E417" t="s">
        <v>29</v>
      </c>
      <c r="F417">
        <v>3</v>
      </c>
      <c r="G417">
        <v>20000</v>
      </c>
      <c r="H417">
        <v>15</v>
      </c>
      <c r="I417">
        <v>60000</v>
      </c>
      <c r="J417">
        <v>9000</v>
      </c>
      <c r="K417">
        <v>51000</v>
      </c>
      <c r="L417">
        <f t="shared" si="6"/>
        <v>10200</v>
      </c>
    </row>
    <row r="418" spans="1:12">
      <c r="A418">
        <v>1417</v>
      </c>
      <c r="B418" t="s">
        <v>257</v>
      </c>
      <c r="C418" t="s">
        <v>56</v>
      </c>
      <c r="D418" t="s">
        <v>47</v>
      </c>
      <c r="E418" t="s">
        <v>71</v>
      </c>
      <c r="F418">
        <v>8</v>
      </c>
      <c r="G418">
        <v>1200</v>
      </c>
      <c r="H418">
        <v>5</v>
      </c>
      <c r="I418">
        <v>9600</v>
      </c>
      <c r="J418">
        <v>480</v>
      </c>
      <c r="K418">
        <v>9120</v>
      </c>
      <c r="L418">
        <f t="shared" si="6"/>
        <v>1824</v>
      </c>
    </row>
    <row r="419" spans="1:12">
      <c r="A419">
        <v>1418</v>
      </c>
      <c r="B419" t="s">
        <v>310</v>
      </c>
      <c r="C419" t="s">
        <v>50</v>
      </c>
      <c r="D419" t="s">
        <v>6</v>
      </c>
      <c r="E419" t="s">
        <v>9</v>
      </c>
      <c r="F419">
        <v>4</v>
      </c>
      <c r="G419">
        <v>50000</v>
      </c>
      <c r="H419">
        <v>15</v>
      </c>
      <c r="I419">
        <v>200000</v>
      </c>
      <c r="J419">
        <v>30000</v>
      </c>
      <c r="K419">
        <v>170000</v>
      </c>
      <c r="L419">
        <f t="shared" si="6"/>
        <v>34000</v>
      </c>
    </row>
    <row r="420" spans="1:12">
      <c r="A420">
        <v>1419</v>
      </c>
      <c r="B420" t="s">
        <v>200</v>
      </c>
      <c r="C420" t="s">
        <v>58</v>
      </c>
      <c r="D420" t="s">
        <v>47</v>
      </c>
      <c r="E420" t="s">
        <v>75</v>
      </c>
      <c r="F420">
        <v>8</v>
      </c>
      <c r="G420">
        <v>5000</v>
      </c>
      <c r="H420">
        <v>5</v>
      </c>
      <c r="I420">
        <v>40000</v>
      </c>
      <c r="J420">
        <v>2000</v>
      </c>
      <c r="K420">
        <v>38000</v>
      </c>
      <c r="L420">
        <f t="shared" si="6"/>
        <v>7600</v>
      </c>
    </row>
    <row r="421" spans="1:12">
      <c r="A421">
        <v>1420</v>
      </c>
      <c r="B421" t="s">
        <v>181</v>
      </c>
      <c r="C421" t="s">
        <v>70</v>
      </c>
      <c r="D421" t="s">
        <v>32</v>
      </c>
      <c r="E421" t="s">
        <v>41</v>
      </c>
      <c r="F421">
        <v>4</v>
      </c>
      <c r="G421">
        <v>50000</v>
      </c>
      <c r="H421">
        <v>2</v>
      </c>
      <c r="I421">
        <v>200000</v>
      </c>
      <c r="J421">
        <v>4000</v>
      </c>
      <c r="K421">
        <v>196000</v>
      </c>
      <c r="L421">
        <f t="shared" si="6"/>
        <v>39200</v>
      </c>
    </row>
    <row r="422" spans="1:12">
      <c r="A422">
        <v>1421</v>
      </c>
      <c r="B422" t="s">
        <v>164</v>
      </c>
      <c r="C422" t="s">
        <v>28</v>
      </c>
      <c r="D422" t="s">
        <v>6</v>
      </c>
      <c r="E422" t="s">
        <v>9</v>
      </c>
      <c r="F422">
        <v>4</v>
      </c>
      <c r="G422">
        <v>10000</v>
      </c>
      <c r="H422">
        <v>2</v>
      </c>
      <c r="I422">
        <v>40000</v>
      </c>
      <c r="J422">
        <v>800</v>
      </c>
      <c r="K422">
        <v>39200</v>
      </c>
      <c r="L422">
        <f t="shared" si="6"/>
        <v>7840</v>
      </c>
    </row>
    <row r="423" spans="1:12">
      <c r="A423">
        <v>1422</v>
      </c>
      <c r="B423" t="s">
        <v>311</v>
      </c>
      <c r="C423" t="s">
        <v>58</v>
      </c>
      <c r="D423" t="s">
        <v>6</v>
      </c>
      <c r="E423" t="s">
        <v>9</v>
      </c>
      <c r="F423">
        <v>7</v>
      </c>
      <c r="G423">
        <v>10000</v>
      </c>
      <c r="H423">
        <v>2</v>
      </c>
      <c r="I423">
        <v>70000</v>
      </c>
      <c r="J423">
        <v>1400</v>
      </c>
      <c r="K423">
        <v>68600</v>
      </c>
      <c r="L423">
        <f t="shared" si="6"/>
        <v>13720</v>
      </c>
    </row>
    <row r="424" spans="1:12">
      <c r="A424">
        <v>1423</v>
      </c>
      <c r="B424" t="s">
        <v>301</v>
      </c>
      <c r="C424" t="s">
        <v>21</v>
      </c>
      <c r="D424" t="s">
        <v>6</v>
      </c>
      <c r="E424" t="s">
        <v>29</v>
      </c>
      <c r="F424">
        <v>10</v>
      </c>
      <c r="G424">
        <v>20000</v>
      </c>
      <c r="H424">
        <v>15</v>
      </c>
      <c r="I424">
        <v>200000</v>
      </c>
      <c r="J424">
        <v>30000</v>
      </c>
      <c r="K424">
        <v>170000</v>
      </c>
      <c r="L424">
        <f t="shared" si="6"/>
        <v>34000</v>
      </c>
    </row>
    <row r="425" spans="1:12">
      <c r="A425">
        <v>1424</v>
      </c>
      <c r="B425" t="s">
        <v>267</v>
      </c>
      <c r="C425" t="s">
        <v>25</v>
      </c>
      <c r="D425" t="s">
        <v>32</v>
      </c>
      <c r="E425" t="s">
        <v>33</v>
      </c>
      <c r="F425">
        <v>10</v>
      </c>
      <c r="G425">
        <v>800</v>
      </c>
      <c r="H425">
        <v>5</v>
      </c>
      <c r="I425">
        <v>8000</v>
      </c>
      <c r="J425">
        <v>400</v>
      </c>
      <c r="K425">
        <v>7600</v>
      </c>
      <c r="L425">
        <f t="shared" si="6"/>
        <v>1520</v>
      </c>
    </row>
    <row r="426" spans="1:12">
      <c r="A426">
        <v>1425</v>
      </c>
      <c r="B426" t="s">
        <v>311</v>
      </c>
      <c r="C426" t="s">
        <v>28</v>
      </c>
      <c r="D426" t="s">
        <v>47</v>
      </c>
      <c r="E426" t="s">
        <v>75</v>
      </c>
      <c r="F426">
        <v>7</v>
      </c>
      <c r="G426">
        <v>50000</v>
      </c>
      <c r="H426">
        <v>10</v>
      </c>
      <c r="I426">
        <v>350000</v>
      </c>
      <c r="J426">
        <v>35000</v>
      </c>
      <c r="K426">
        <v>315000</v>
      </c>
      <c r="L426">
        <f t="shared" si="6"/>
        <v>63000</v>
      </c>
    </row>
    <row r="427" spans="1:12">
      <c r="A427">
        <v>1426</v>
      </c>
      <c r="B427" t="s">
        <v>37</v>
      </c>
      <c r="C427" t="s">
        <v>50</v>
      </c>
      <c r="D427" t="s">
        <v>32</v>
      </c>
      <c r="E427" t="s">
        <v>33</v>
      </c>
      <c r="F427">
        <v>9</v>
      </c>
      <c r="G427">
        <v>500</v>
      </c>
      <c r="H427">
        <v>2</v>
      </c>
      <c r="I427">
        <v>4500</v>
      </c>
      <c r="J427">
        <v>90</v>
      </c>
      <c r="K427">
        <v>4410</v>
      </c>
      <c r="L427">
        <f t="shared" si="6"/>
        <v>882</v>
      </c>
    </row>
    <row r="428" spans="1:12">
      <c r="A428">
        <v>1427</v>
      </c>
      <c r="B428" t="s">
        <v>312</v>
      </c>
      <c r="C428" t="s">
        <v>56</v>
      </c>
      <c r="D428" t="s">
        <v>32</v>
      </c>
      <c r="E428" t="s">
        <v>41</v>
      </c>
      <c r="F428">
        <v>4</v>
      </c>
      <c r="G428">
        <v>800</v>
      </c>
      <c r="H428">
        <v>15</v>
      </c>
      <c r="I428">
        <v>3200</v>
      </c>
      <c r="J428">
        <v>480</v>
      </c>
      <c r="K428">
        <v>2720</v>
      </c>
      <c r="L428">
        <f t="shared" si="6"/>
        <v>544</v>
      </c>
    </row>
    <row r="429" spans="1:12">
      <c r="A429">
        <v>1428</v>
      </c>
      <c r="B429" t="s">
        <v>313</v>
      </c>
      <c r="C429" t="s">
        <v>66</v>
      </c>
      <c r="D429" t="s">
        <v>47</v>
      </c>
      <c r="E429" t="s">
        <v>71</v>
      </c>
      <c r="F429">
        <v>3</v>
      </c>
      <c r="G429">
        <v>2500</v>
      </c>
      <c r="H429">
        <v>2</v>
      </c>
      <c r="I429">
        <v>7500</v>
      </c>
      <c r="J429">
        <v>150</v>
      </c>
      <c r="K429">
        <v>7350</v>
      </c>
      <c r="L429">
        <f t="shared" si="6"/>
        <v>1470</v>
      </c>
    </row>
    <row r="430" spans="1:12">
      <c r="A430">
        <v>1429</v>
      </c>
      <c r="B430" t="s">
        <v>135</v>
      </c>
      <c r="C430" t="s">
        <v>66</v>
      </c>
      <c r="D430" t="s">
        <v>6</v>
      </c>
      <c r="E430" t="s">
        <v>22</v>
      </c>
      <c r="F430">
        <v>10</v>
      </c>
      <c r="G430">
        <v>2500</v>
      </c>
      <c r="H430">
        <v>5</v>
      </c>
      <c r="I430">
        <v>25000</v>
      </c>
      <c r="J430">
        <v>1250</v>
      </c>
      <c r="K430">
        <v>23750</v>
      </c>
      <c r="L430">
        <f t="shared" si="6"/>
        <v>4750</v>
      </c>
    </row>
    <row r="431" spans="1:12">
      <c r="A431">
        <v>1430</v>
      </c>
      <c r="B431" t="s">
        <v>205</v>
      </c>
      <c r="C431" t="s">
        <v>46</v>
      </c>
      <c r="D431" t="s">
        <v>32</v>
      </c>
      <c r="E431" t="s">
        <v>41</v>
      </c>
      <c r="F431">
        <v>1</v>
      </c>
      <c r="G431">
        <v>500</v>
      </c>
      <c r="H431">
        <v>2</v>
      </c>
      <c r="I431">
        <v>500</v>
      </c>
      <c r="J431">
        <v>10</v>
      </c>
      <c r="K431">
        <v>490</v>
      </c>
      <c r="L431">
        <f t="shared" si="6"/>
        <v>98</v>
      </c>
    </row>
    <row r="432" spans="1:12">
      <c r="A432">
        <v>1431</v>
      </c>
      <c r="B432" t="s">
        <v>184</v>
      </c>
      <c r="C432" t="s">
        <v>21</v>
      </c>
      <c r="D432" t="s">
        <v>6</v>
      </c>
      <c r="E432" t="s">
        <v>22</v>
      </c>
      <c r="F432">
        <v>9</v>
      </c>
      <c r="G432">
        <v>1200</v>
      </c>
      <c r="H432">
        <v>10</v>
      </c>
      <c r="I432">
        <v>10800</v>
      </c>
      <c r="J432">
        <v>1080</v>
      </c>
      <c r="K432">
        <v>9720</v>
      </c>
      <c r="L432">
        <f t="shared" si="6"/>
        <v>1944</v>
      </c>
    </row>
    <row r="433" spans="1:12">
      <c r="A433">
        <v>1432</v>
      </c>
      <c r="B433" t="s">
        <v>209</v>
      </c>
      <c r="C433" t="s">
        <v>70</v>
      </c>
      <c r="D433" t="s">
        <v>6</v>
      </c>
      <c r="E433" t="s">
        <v>29</v>
      </c>
      <c r="F433">
        <v>2</v>
      </c>
      <c r="G433">
        <v>5000</v>
      </c>
      <c r="H433">
        <v>10</v>
      </c>
      <c r="I433">
        <v>10000</v>
      </c>
      <c r="J433">
        <v>1000</v>
      </c>
      <c r="K433">
        <v>9000</v>
      </c>
      <c r="L433">
        <f t="shared" si="6"/>
        <v>1800</v>
      </c>
    </row>
    <row r="434" spans="1:12">
      <c r="A434">
        <v>1433</v>
      </c>
      <c r="B434" t="s">
        <v>314</v>
      </c>
      <c r="C434" t="s">
        <v>46</v>
      </c>
      <c r="D434" t="s">
        <v>47</v>
      </c>
      <c r="E434" t="s">
        <v>71</v>
      </c>
      <c r="F434">
        <v>5</v>
      </c>
      <c r="G434">
        <v>10000</v>
      </c>
      <c r="H434">
        <v>2</v>
      </c>
      <c r="I434">
        <v>50000</v>
      </c>
      <c r="J434">
        <v>1000</v>
      </c>
      <c r="K434">
        <v>49000</v>
      </c>
      <c r="L434">
        <f t="shared" si="6"/>
        <v>9800</v>
      </c>
    </row>
    <row r="435" spans="1:12">
      <c r="A435">
        <v>1434</v>
      </c>
      <c r="B435" t="s">
        <v>172</v>
      </c>
      <c r="C435" t="s">
        <v>50</v>
      </c>
      <c r="D435" t="s">
        <v>6</v>
      </c>
      <c r="E435" t="s">
        <v>22</v>
      </c>
      <c r="F435">
        <v>6</v>
      </c>
      <c r="G435">
        <v>1200</v>
      </c>
      <c r="H435">
        <v>10</v>
      </c>
      <c r="I435">
        <v>7200</v>
      </c>
      <c r="J435">
        <v>720</v>
      </c>
      <c r="K435">
        <v>6480</v>
      </c>
      <c r="L435">
        <f t="shared" si="6"/>
        <v>1296</v>
      </c>
    </row>
    <row r="436" spans="1:12">
      <c r="A436">
        <v>1435</v>
      </c>
      <c r="B436" t="s">
        <v>257</v>
      </c>
      <c r="C436" t="s">
        <v>66</v>
      </c>
      <c r="D436" t="s">
        <v>32</v>
      </c>
      <c r="E436" t="s">
        <v>33</v>
      </c>
      <c r="F436">
        <v>2</v>
      </c>
      <c r="G436">
        <v>10000</v>
      </c>
      <c r="H436">
        <v>5</v>
      </c>
      <c r="I436">
        <v>20000</v>
      </c>
      <c r="J436">
        <v>1000</v>
      </c>
      <c r="K436">
        <v>19000</v>
      </c>
      <c r="L436">
        <f t="shared" si="6"/>
        <v>3800</v>
      </c>
    </row>
    <row r="437" spans="1:12">
      <c r="A437">
        <v>1436</v>
      </c>
      <c r="B437" t="s">
        <v>227</v>
      </c>
      <c r="C437" t="s">
        <v>25</v>
      </c>
      <c r="D437" t="s">
        <v>47</v>
      </c>
      <c r="E437" t="s">
        <v>75</v>
      </c>
      <c r="F437">
        <v>3</v>
      </c>
      <c r="G437">
        <v>800</v>
      </c>
      <c r="H437">
        <v>5</v>
      </c>
      <c r="I437">
        <v>2400</v>
      </c>
      <c r="J437">
        <v>120</v>
      </c>
      <c r="K437">
        <v>2280</v>
      </c>
      <c r="L437">
        <f t="shared" si="6"/>
        <v>456</v>
      </c>
    </row>
    <row r="438" spans="1:12">
      <c r="A438">
        <v>1437</v>
      </c>
      <c r="B438" t="s">
        <v>315</v>
      </c>
      <c r="C438" t="s">
        <v>38</v>
      </c>
      <c r="D438" t="s">
        <v>6</v>
      </c>
      <c r="E438" t="s">
        <v>22</v>
      </c>
      <c r="F438">
        <v>4</v>
      </c>
      <c r="G438">
        <v>2500</v>
      </c>
      <c r="H438">
        <v>10</v>
      </c>
      <c r="I438">
        <v>10000</v>
      </c>
      <c r="J438">
        <v>1000</v>
      </c>
      <c r="K438">
        <v>9000</v>
      </c>
      <c r="L438">
        <f t="shared" si="6"/>
        <v>1800</v>
      </c>
    </row>
    <row r="439" spans="1:12">
      <c r="A439">
        <v>1438</v>
      </c>
      <c r="B439" t="s">
        <v>250</v>
      </c>
      <c r="C439" t="s">
        <v>58</v>
      </c>
      <c r="D439" t="s">
        <v>47</v>
      </c>
      <c r="E439" t="s">
        <v>71</v>
      </c>
      <c r="F439">
        <v>1</v>
      </c>
      <c r="G439">
        <v>10000</v>
      </c>
      <c r="H439">
        <v>0</v>
      </c>
      <c r="I439">
        <v>10000</v>
      </c>
      <c r="J439">
        <v>0</v>
      </c>
      <c r="K439">
        <v>10000</v>
      </c>
      <c r="L439">
        <f t="shared" si="6"/>
        <v>2000</v>
      </c>
    </row>
    <row r="440" spans="1:12">
      <c r="A440">
        <v>1439</v>
      </c>
      <c r="B440" t="s">
        <v>141</v>
      </c>
      <c r="C440" t="s">
        <v>25</v>
      </c>
      <c r="D440" t="s">
        <v>32</v>
      </c>
      <c r="E440" t="s">
        <v>51</v>
      </c>
      <c r="F440">
        <v>6</v>
      </c>
      <c r="G440">
        <v>20000</v>
      </c>
      <c r="H440">
        <v>5</v>
      </c>
      <c r="I440">
        <v>120000</v>
      </c>
      <c r="J440">
        <v>6000</v>
      </c>
      <c r="K440">
        <v>114000</v>
      </c>
      <c r="L440">
        <f t="shared" si="6"/>
        <v>22800</v>
      </c>
    </row>
    <row r="441" spans="1:12">
      <c r="A441">
        <v>1440</v>
      </c>
      <c r="B441" t="s">
        <v>236</v>
      </c>
      <c r="C441" t="s">
        <v>58</v>
      </c>
      <c r="D441" t="s">
        <v>47</v>
      </c>
      <c r="E441" t="s">
        <v>71</v>
      </c>
      <c r="F441">
        <v>7</v>
      </c>
      <c r="G441">
        <v>5000</v>
      </c>
      <c r="H441">
        <v>0</v>
      </c>
      <c r="I441">
        <v>35000</v>
      </c>
      <c r="J441">
        <v>0</v>
      </c>
      <c r="K441">
        <v>35000</v>
      </c>
      <c r="L441">
        <f t="shared" si="6"/>
        <v>7000</v>
      </c>
    </row>
    <row r="442" spans="1:12">
      <c r="A442">
        <v>1441</v>
      </c>
      <c r="B442" t="s">
        <v>316</v>
      </c>
      <c r="C442" t="s">
        <v>46</v>
      </c>
      <c r="D442" t="s">
        <v>6</v>
      </c>
      <c r="E442" t="s">
        <v>29</v>
      </c>
      <c r="F442">
        <v>4</v>
      </c>
      <c r="G442">
        <v>10000</v>
      </c>
      <c r="H442">
        <v>0</v>
      </c>
      <c r="I442">
        <v>40000</v>
      </c>
      <c r="J442">
        <v>0</v>
      </c>
      <c r="K442">
        <v>40000</v>
      </c>
      <c r="L442">
        <f t="shared" si="6"/>
        <v>8000</v>
      </c>
    </row>
    <row r="443" spans="1:12">
      <c r="A443">
        <v>1442</v>
      </c>
      <c r="B443" t="s">
        <v>212</v>
      </c>
      <c r="C443" t="s">
        <v>28</v>
      </c>
      <c r="D443" t="s">
        <v>47</v>
      </c>
      <c r="E443" t="s">
        <v>75</v>
      </c>
      <c r="F443">
        <v>8</v>
      </c>
      <c r="G443">
        <v>800</v>
      </c>
      <c r="H443">
        <v>0</v>
      </c>
      <c r="I443">
        <v>6400</v>
      </c>
      <c r="J443">
        <v>0</v>
      </c>
      <c r="K443">
        <v>6400</v>
      </c>
      <c r="L443">
        <f t="shared" si="6"/>
        <v>1280</v>
      </c>
    </row>
    <row r="444" spans="1:12">
      <c r="A444">
        <v>1443</v>
      </c>
      <c r="B444" t="s">
        <v>203</v>
      </c>
      <c r="C444" t="s">
        <v>70</v>
      </c>
      <c r="D444" t="s">
        <v>32</v>
      </c>
      <c r="E444" t="s">
        <v>41</v>
      </c>
      <c r="F444">
        <v>1</v>
      </c>
      <c r="G444">
        <v>10000</v>
      </c>
      <c r="H444">
        <v>0</v>
      </c>
      <c r="I444">
        <v>10000</v>
      </c>
      <c r="J444">
        <v>0</v>
      </c>
      <c r="K444">
        <v>10000</v>
      </c>
      <c r="L444">
        <f t="shared" si="6"/>
        <v>2000</v>
      </c>
    </row>
    <row r="445" spans="1:12">
      <c r="A445">
        <v>1444</v>
      </c>
      <c r="B445" t="s">
        <v>271</v>
      </c>
      <c r="C445" t="s">
        <v>46</v>
      </c>
      <c r="D445" t="s">
        <v>47</v>
      </c>
      <c r="E445" t="s">
        <v>75</v>
      </c>
      <c r="F445">
        <v>10</v>
      </c>
      <c r="G445">
        <v>800</v>
      </c>
      <c r="H445">
        <v>5</v>
      </c>
      <c r="I445">
        <v>8000</v>
      </c>
      <c r="J445">
        <v>400</v>
      </c>
      <c r="K445">
        <v>7600</v>
      </c>
      <c r="L445">
        <f t="shared" si="6"/>
        <v>1520</v>
      </c>
    </row>
    <row r="446" spans="1:12">
      <c r="A446">
        <v>1445</v>
      </c>
      <c r="B446" t="s">
        <v>182</v>
      </c>
      <c r="C446" t="s">
        <v>70</v>
      </c>
      <c r="D446" t="s">
        <v>6</v>
      </c>
      <c r="E446" t="s">
        <v>29</v>
      </c>
      <c r="F446">
        <v>7</v>
      </c>
      <c r="G446">
        <v>1200</v>
      </c>
      <c r="H446">
        <v>5</v>
      </c>
      <c r="I446">
        <v>8400</v>
      </c>
      <c r="J446">
        <v>420</v>
      </c>
      <c r="K446">
        <v>7980</v>
      </c>
      <c r="L446">
        <f t="shared" si="6"/>
        <v>1596</v>
      </c>
    </row>
    <row r="447" spans="1:12">
      <c r="A447">
        <v>1446</v>
      </c>
      <c r="B447" t="s">
        <v>317</v>
      </c>
      <c r="C447" t="s">
        <v>70</v>
      </c>
      <c r="D447" t="s">
        <v>32</v>
      </c>
      <c r="E447" t="s">
        <v>33</v>
      </c>
      <c r="F447">
        <v>6</v>
      </c>
      <c r="G447">
        <v>50000</v>
      </c>
      <c r="H447">
        <v>2</v>
      </c>
      <c r="I447">
        <v>300000</v>
      </c>
      <c r="J447">
        <v>6000</v>
      </c>
      <c r="K447">
        <v>294000</v>
      </c>
      <c r="L447">
        <f t="shared" si="6"/>
        <v>58800</v>
      </c>
    </row>
    <row r="448" spans="1:12">
      <c r="A448">
        <v>1447</v>
      </c>
      <c r="B448" t="s">
        <v>93</v>
      </c>
      <c r="C448" t="s">
        <v>25</v>
      </c>
      <c r="D448" t="s">
        <v>6</v>
      </c>
      <c r="E448" t="s">
        <v>29</v>
      </c>
      <c r="F448">
        <v>1</v>
      </c>
      <c r="G448">
        <v>50000</v>
      </c>
      <c r="H448">
        <v>0</v>
      </c>
      <c r="I448">
        <v>50000</v>
      </c>
      <c r="J448">
        <v>0</v>
      </c>
      <c r="K448">
        <v>50000</v>
      </c>
      <c r="L448">
        <f t="shared" si="6"/>
        <v>10000</v>
      </c>
    </row>
    <row r="449" spans="1:12">
      <c r="A449">
        <v>1448</v>
      </c>
      <c r="B449" t="s">
        <v>318</v>
      </c>
      <c r="C449" t="s">
        <v>58</v>
      </c>
      <c r="D449" t="s">
        <v>32</v>
      </c>
      <c r="E449" t="s">
        <v>41</v>
      </c>
      <c r="F449">
        <v>3</v>
      </c>
      <c r="G449">
        <v>1200</v>
      </c>
      <c r="H449">
        <v>10</v>
      </c>
      <c r="I449">
        <v>3600</v>
      </c>
      <c r="J449">
        <v>360</v>
      </c>
      <c r="K449">
        <v>3240</v>
      </c>
      <c r="L449">
        <f t="shared" si="6"/>
        <v>648</v>
      </c>
    </row>
    <row r="450" spans="1:12">
      <c r="A450">
        <v>1449</v>
      </c>
      <c r="B450" t="s">
        <v>270</v>
      </c>
      <c r="C450" t="s">
        <v>58</v>
      </c>
      <c r="D450" t="s">
        <v>47</v>
      </c>
      <c r="E450" t="s">
        <v>71</v>
      </c>
      <c r="F450">
        <v>3</v>
      </c>
      <c r="G450">
        <v>5000</v>
      </c>
      <c r="H450">
        <v>5</v>
      </c>
      <c r="I450">
        <v>15000</v>
      </c>
      <c r="J450">
        <v>750</v>
      </c>
      <c r="K450">
        <v>14250</v>
      </c>
      <c r="L450">
        <f t="shared" ref="L450:L513" si="7">K450*20%</f>
        <v>2850</v>
      </c>
    </row>
    <row r="451" spans="1:12">
      <c r="A451">
        <v>1450</v>
      </c>
      <c r="B451" t="s">
        <v>313</v>
      </c>
      <c r="C451" t="s">
        <v>70</v>
      </c>
      <c r="D451" t="s">
        <v>47</v>
      </c>
      <c r="E451" t="s">
        <v>75</v>
      </c>
      <c r="F451">
        <v>5</v>
      </c>
      <c r="G451">
        <v>1200</v>
      </c>
      <c r="H451">
        <v>5</v>
      </c>
      <c r="I451">
        <v>6000</v>
      </c>
      <c r="J451">
        <v>300</v>
      </c>
      <c r="K451">
        <v>5700</v>
      </c>
      <c r="L451">
        <f t="shared" si="7"/>
        <v>1140</v>
      </c>
    </row>
    <row r="452" spans="1:12">
      <c r="A452">
        <v>1451</v>
      </c>
      <c r="B452" t="s">
        <v>149</v>
      </c>
      <c r="C452" t="s">
        <v>66</v>
      </c>
      <c r="D452" t="s">
        <v>32</v>
      </c>
      <c r="E452" t="s">
        <v>51</v>
      </c>
      <c r="F452">
        <v>10</v>
      </c>
      <c r="G452">
        <v>20000</v>
      </c>
      <c r="H452">
        <v>0</v>
      </c>
      <c r="I452">
        <v>200000</v>
      </c>
      <c r="J452">
        <v>0</v>
      </c>
      <c r="K452">
        <v>200000</v>
      </c>
      <c r="L452">
        <f t="shared" si="7"/>
        <v>40000</v>
      </c>
    </row>
    <row r="453" spans="1:12">
      <c r="A453">
        <v>1452</v>
      </c>
      <c r="B453" t="s">
        <v>195</v>
      </c>
      <c r="C453" t="s">
        <v>66</v>
      </c>
      <c r="D453" t="s">
        <v>6</v>
      </c>
      <c r="E453" t="s">
        <v>22</v>
      </c>
      <c r="F453">
        <v>2</v>
      </c>
      <c r="G453">
        <v>5000</v>
      </c>
      <c r="H453">
        <v>10</v>
      </c>
      <c r="I453">
        <v>10000</v>
      </c>
      <c r="J453">
        <v>1000</v>
      </c>
      <c r="K453">
        <v>9000</v>
      </c>
      <c r="L453">
        <f t="shared" si="7"/>
        <v>1800</v>
      </c>
    </row>
    <row r="454" spans="1:12">
      <c r="A454">
        <v>1453</v>
      </c>
      <c r="B454" t="s">
        <v>306</v>
      </c>
      <c r="C454" t="s">
        <v>58</v>
      </c>
      <c r="D454" t="s">
        <v>6</v>
      </c>
      <c r="E454" t="s">
        <v>9</v>
      </c>
      <c r="F454">
        <v>5</v>
      </c>
      <c r="G454">
        <v>50000</v>
      </c>
      <c r="H454">
        <v>2</v>
      </c>
      <c r="I454">
        <v>250000</v>
      </c>
      <c r="J454">
        <v>5000</v>
      </c>
      <c r="K454">
        <v>245000</v>
      </c>
      <c r="L454">
        <f t="shared" si="7"/>
        <v>49000</v>
      </c>
    </row>
    <row r="455" spans="1:12">
      <c r="A455">
        <v>1454</v>
      </c>
      <c r="B455" t="s">
        <v>319</v>
      </c>
      <c r="C455" t="s">
        <v>46</v>
      </c>
      <c r="D455" t="s">
        <v>6</v>
      </c>
      <c r="E455" t="s">
        <v>29</v>
      </c>
      <c r="F455">
        <v>3</v>
      </c>
      <c r="G455">
        <v>20000</v>
      </c>
      <c r="H455">
        <v>0</v>
      </c>
      <c r="I455">
        <v>60000</v>
      </c>
      <c r="J455">
        <v>0</v>
      </c>
      <c r="K455">
        <v>60000</v>
      </c>
      <c r="L455">
        <f t="shared" si="7"/>
        <v>12000</v>
      </c>
    </row>
    <row r="456" spans="1:12">
      <c r="A456">
        <v>1455</v>
      </c>
      <c r="B456" t="s">
        <v>320</v>
      </c>
      <c r="C456" t="s">
        <v>50</v>
      </c>
      <c r="D456" t="s">
        <v>47</v>
      </c>
      <c r="E456" t="s">
        <v>71</v>
      </c>
      <c r="F456">
        <v>1</v>
      </c>
      <c r="G456">
        <v>10000</v>
      </c>
      <c r="H456">
        <v>5</v>
      </c>
      <c r="I456">
        <v>10000</v>
      </c>
      <c r="J456">
        <v>500</v>
      </c>
      <c r="K456">
        <v>9500</v>
      </c>
      <c r="L456">
        <f t="shared" si="7"/>
        <v>1900</v>
      </c>
    </row>
    <row r="457" spans="1:12">
      <c r="A457">
        <v>1456</v>
      </c>
      <c r="B457" t="s">
        <v>191</v>
      </c>
      <c r="C457" t="s">
        <v>38</v>
      </c>
      <c r="D457" t="s">
        <v>6</v>
      </c>
      <c r="E457" t="s">
        <v>29</v>
      </c>
      <c r="F457">
        <v>8</v>
      </c>
      <c r="G457">
        <v>50000</v>
      </c>
      <c r="H457">
        <v>5</v>
      </c>
      <c r="I457">
        <v>400000</v>
      </c>
      <c r="J457">
        <v>20000</v>
      </c>
      <c r="K457">
        <v>380000</v>
      </c>
      <c r="L457">
        <f t="shared" si="7"/>
        <v>76000</v>
      </c>
    </row>
    <row r="458" spans="1:12">
      <c r="A458">
        <v>1457</v>
      </c>
      <c r="B458" t="s">
        <v>244</v>
      </c>
      <c r="C458" t="s">
        <v>70</v>
      </c>
      <c r="D458" t="s">
        <v>47</v>
      </c>
      <c r="E458" t="s">
        <v>75</v>
      </c>
      <c r="F458">
        <v>4</v>
      </c>
      <c r="G458">
        <v>10000</v>
      </c>
      <c r="H458">
        <v>5</v>
      </c>
      <c r="I458">
        <v>40000</v>
      </c>
      <c r="J458">
        <v>2000</v>
      </c>
      <c r="K458">
        <v>38000</v>
      </c>
      <c r="L458">
        <f t="shared" si="7"/>
        <v>7600</v>
      </c>
    </row>
    <row r="459" spans="1:12">
      <c r="A459">
        <v>1458</v>
      </c>
      <c r="B459" t="s">
        <v>321</v>
      </c>
      <c r="C459" t="s">
        <v>38</v>
      </c>
      <c r="D459" t="s">
        <v>6</v>
      </c>
      <c r="E459" t="s">
        <v>29</v>
      </c>
      <c r="F459">
        <v>7</v>
      </c>
      <c r="G459">
        <v>5000</v>
      </c>
      <c r="H459">
        <v>2</v>
      </c>
      <c r="I459">
        <v>35000</v>
      </c>
      <c r="J459">
        <v>700</v>
      </c>
      <c r="K459">
        <v>34300</v>
      </c>
      <c r="L459">
        <f t="shared" si="7"/>
        <v>6860</v>
      </c>
    </row>
    <row r="460" spans="1:12">
      <c r="A460">
        <v>1459</v>
      </c>
      <c r="B460" t="s">
        <v>136</v>
      </c>
      <c r="C460" t="s">
        <v>28</v>
      </c>
      <c r="D460" t="s">
        <v>47</v>
      </c>
      <c r="E460" t="s">
        <v>75</v>
      </c>
      <c r="F460">
        <v>10</v>
      </c>
      <c r="G460">
        <v>800</v>
      </c>
      <c r="H460">
        <v>5</v>
      </c>
      <c r="I460">
        <v>8000</v>
      </c>
      <c r="J460">
        <v>400</v>
      </c>
      <c r="K460">
        <v>7600</v>
      </c>
      <c r="L460">
        <f t="shared" si="7"/>
        <v>1520</v>
      </c>
    </row>
    <row r="461" spans="1:12">
      <c r="A461">
        <v>1460</v>
      </c>
      <c r="B461" t="s">
        <v>232</v>
      </c>
      <c r="C461" t="s">
        <v>21</v>
      </c>
      <c r="D461" t="s">
        <v>6</v>
      </c>
      <c r="E461" t="s">
        <v>22</v>
      </c>
      <c r="F461">
        <v>2</v>
      </c>
      <c r="G461">
        <v>10000</v>
      </c>
      <c r="H461">
        <v>10</v>
      </c>
      <c r="I461">
        <v>20000</v>
      </c>
      <c r="J461">
        <v>2000</v>
      </c>
      <c r="K461">
        <v>18000</v>
      </c>
      <c r="L461">
        <f t="shared" si="7"/>
        <v>3600</v>
      </c>
    </row>
    <row r="462" spans="1:12">
      <c r="A462">
        <v>1461</v>
      </c>
      <c r="B462" t="s">
        <v>238</v>
      </c>
      <c r="C462" t="s">
        <v>38</v>
      </c>
      <c r="D462" t="s">
        <v>6</v>
      </c>
      <c r="E462" t="s">
        <v>22</v>
      </c>
      <c r="F462">
        <v>3</v>
      </c>
      <c r="G462">
        <v>800</v>
      </c>
      <c r="H462">
        <v>15</v>
      </c>
      <c r="I462">
        <v>2400</v>
      </c>
      <c r="J462">
        <v>360</v>
      </c>
      <c r="K462">
        <v>2040</v>
      </c>
      <c r="L462">
        <f t="shared" si="7"/>
        <v>408</v>
      </c>
    </row>
    <row r="463" spans="1:12">
      <c r="A463">
        <v>1462</v>
      </c>
      <c r="B463" t="s">
        <v>234</v>
      </c>
      <c r="C463" t="s">
        <v>58</v>
      </c>
      <c r="D463" t="s">
        <v>6</v>
      </c>
      <c r="E463" t="s">
        <v>9</v>
      </c>
      <c r="F463">
        <v>8</v>
      </c>
      <c r="G463">
        <v>800</v>
      </c>
      <c r="H463">
        <v>15</v>
      </c>
      <c r="I463">
        <v>6400</v>
      </c>
      <c r="J463">
        <v>960</v>
      </c>
      <c r="K463">
        <v>5440</v>
      </c>
      <c r="L463">
        <f t="shared" si="7"/>
        <v>1088</v>
      </c>
    </row>
    <row r="464" spans="1:12">
      <c r="A464">
        <v>1463</v>
      </c>
      <c r="B464" t="s">
        <v>181</v>
      </c>
      <c r="C464" t="s">
        <v>46</v>
      </c>
      <c r="D464" t="s">
        <v>6</v>
      </c>
      <c r="E464" t="s">
        <v>9</v>
      </c>
      <c r="F464">
        <v>4</v>
      </c>
      <c r="G464">
        <v>50000</v>
      </c>
      <c r="H464">
        <v>0</v>
      </c>
      <c r="I464">
        <v>200000</v>
      </c>
      <c r="J464">
        <v>0</v>
      </c>
      <c r="K464">
        <v>200000</v>
      </c>
      <c r="L464">
        <f t="shared" si="7"/>
        <v>40000</v>
      </c>
    </row>
    <row r="465" spans="1:12">
      <c r="A465">
        <v>1464</v>
      </c>
      <c r="B465" t="s">
        <v>79</v>
      </c>
      <c r="C465" t="s">
        <v>21</v>
      </c>
      <c r="D465" t="s">
        <v>47</v>
      </c>
      <c r="E465" t="s">
        <v>75</v>
      </c>
      <c r="F465">
        <v>4</v>
      </c>
      <c r="G465">
        <v>800</v>
      </c>
      <c r="H465">
        <v>2</v>
      </c>
      <c r="I465">
        <v>3200</v>
      </c>
      <c r="J465">
        <v>64</v>
      </c>
      <c r="K465">
        <v>3136</v>
      </c>
      <c r="L465">
        <f t="shared" si="7"/>
        <v>627.20000000000005</v>
      </c>
    </row>
    <row r="466" spans="1:12">
      <c r="A466">
        <v>1465</v>
      </c>
      <c r="B466" t="s">
        <v>322</v>
      </c>
      <c r="C466" t="s">
        <v>58</v>
      </c>
      <c r="D466" t="s">
        <v>47</v>
      </c>
      <c r="E466" t="s">
        <v>71</v>
      </c>
      <c r="F466">
        <v>4</v>
      </c>
      <c r="G466">
        <v>1200</v>
      </c>
      <c r="H466">
        <v>0</v>
      </c>
      <c r="I466">
        <v>4800</v>
      </c>
      <c r="J466">
        <v>0</v>
      </c>
      <c r="K466">
        <v>4800</v>
      </c>
      <c r="L466">
        <f t="shared" si="7"/>
        <v>960</v>
      </c>
    </row>
    <row r="467" spans="1:12">
      <c r="A467">
        <v>1466</v>
      </c>
      <c r="B467" t="s">
        <v>181</v>
      </c>
      <c r="C467" t="s">
        <v>25</v>
      </c>
      <c r="D467" t="s">
        <v>47</v>
      </c>
      <c r="E467" t="s">
        <v>75</v>
      </c>
      <c r="F467">
        <v>1</v>
      </c>
      <c r="G467">
        <v>50000</v>
      </c>
      <c r="H467">
        <v>0</v>
      </c>
      <c r="I467">
        <v>50000</v>
      </c>
      <c r="J467">
        <v>0</v>
      </c>
      <c r="K467">
        <v>50000</v>
      </c>
      <c r="L467">
        <f t="shared" si="7"/>
        <v>10000</v>
      </c>
    </row>
    <row r="468" spans="1:12">
      <c r="A468">
        <v>1467</v>
      </c>
      <c r="B468" t="s">
        <v>323</v>
      </c>
      <c r="C468" t="s">
        <v>21</v>
      </c>
      <c r="D468" t="s">
        <v>6</v>
      </c>
      <c r="E468" t="s">
        <v>9</v>
      </c>
      <c r="F468">
        <v>5</v>
      </c>
      <c r="G468">
        <v>500</v>
      </c>
      <c r="H468">
        <v>15</v>
      </c>
      <c r="I468">
        <v>2500</v>
      </c>
      <c r="J468">
        <v>375</v>
      </c>
      <c r="K468">
        <v>2125</v>
      </c>
      <c r="L468">
        <f t="shared" si="7"/>
        <v>425</v>
      </c>
    </row>
    <row r="469" spans="1:12">
      <c r="A469">
        <v>1468</v>
      </c>
      <c r="B469" t="s">
        <v>269</v>
      </c>
      <c r="C469" t="s">
        <v>28</v>
      </c>
      <c r="D469" t="s">
        <v>32</v>
      </c>
      <c r="E469" t="s">
        <v>51</v>
      </c>
      <c r="F469">
        <v>4</v>
      </c>
      <c r="G469">
        <v>50000</v>
      </c>
      <c r="H469">
        <v>5</v>
      </c>
      <c r="I469">
        <v>200000</v>
      </c>
      <c r="J469">
        <v>10000</v>
      </c>
      <c r="K469">
        <v>190000</v>
      </c>
      <c r="L469">
        <f t="shared" si="7"/>
        <v>38000</v>
      </c>
    </row>
    <row r="470" spans="1:12">
      <c r="A470">
        <v>1469</v>
      </c>
      <c r="B470" t="s">
        <v>324</v>
      </c>
      <c r="C470" t="s">
        <v>38</v>
      </c>
      <c r="D470" t="s">
        <v>32</v>
      </c>
      <c r="E470" t="s">
        <v>33</v>
      </c>
      <c r="F470">
        <v>10</v>
      </c>
      <c r="G470">
        <v>2500</v>
      </c>
      <c r="H470">
        <v>2</v>
      </c>
      <c r="I470">
        <v>25000</v>
      </c>
      <c r="J470">
        <v>500</v>
      </c>
      <c r="K470">
        <v>24500</v>
      </c>
      <c r="L470">
        <f t="shared" si="7"/>
        <v>4900</v>
      </c>
    </row>
    <row r="471" spans="1:12">
      <c r="A471">
        <v>1470</v>
      </c>
      <c r="B471" t="s">
        <v>325</v>
      </c>
      <c r="C471" t="s">
        <v>38</v>
      </c>
      <c r="D471" t="s">
        <v>47</v>
      </c>
      <c r="E471" t="s">
        <v>48</v>
      </c>
      <c r="F471">
        <v>9</v>
      </c>
      <c r="G471">
        <v>500</v>
      </c>
      <c r="H471">
        <v>15</v>
      </c>
      <c r="I471">
        <v>4500</v>
      </c>
      <c r="J471">
        <v>675</v>
      </c>
      <c r="K471">
        <v>3825</v>
      </c>
      <c r="L471">
        <f t="shared" si="7"/>
        <v>765</v>
      </c>
    </row>
    <row r="472" spans="1:12">
      <c r="A472">
        <v>1471</v>
      </c>
      <c r="B472" t="s">
        <v>162</v>
      </c>
      <c r="C472" t="s">
        <v>50</v>
      </c>
      <c r="D472" t="s">
        <v>47</v>
      </c>
      <c r="E472" t="s">
        <v>48</v>
      </c>
      <c r="F472">
        <v>7</v>
      </c>
      <c r="G472">
        <v>10000</v>
      </c>
      <c r="H472">
        <v>5</v>
      </c>
      <c r="I472">
        <v>70000</v>
      </c>
      <c r="J472">
        <v>3500</v>
      </c>
      <c r="K472">
        <v>66500</v>
      </c>
      <c r="L472">
        <f t="shared" si="7"/>
        <v>13300</v>
      </c>
    </row>
    <row r="473" spans="1:12">
      <c r="A473">
        <v>1472</v>
      </c>
      <c r="B473" t="s">
        <v>110</v>
      </c>
      <c r="C473" t="s">
        <v>70</v>
      </c>
      <c r="D473" t="s">
        <v>47</v>
      </c>
      <c r="E473" t="s">
        <v>48</v>
      </c>
      <c r="F473">
        <v>4</v>
      </c>
      <c r="G473">
        <v>500</v>
      </c>
      <c r="H473">
        <v>10</v>
      </c>
      <c r="I473">
        <v>2000</v>
      </c>
      <c r="J473">
        <v>200</v>
      </c>
      <c r="K473">
        <v>1800</v>
      </c>
      <c r="L473">
        <f t="shared" si="7"/>
        <v>360</v>
      </c>
    </row>
    <row r="474" spans="1:12">
      <c r="A474">
        <v>1473</v>
      </c>
      <c r="B474" t="s">
        <v>115</v>
      </c>
      <c r="C474" t="s">
        <v>50</v>
      </c>
      <c r="D474" t="s">
        <v>47</v>
      </c>
      <c r="E474" t="s">
        <v>48</v>
      </c>
      <c r="F474">
        <v>9</v>
      </c>
      <c r="G474">
        <v>10000</v>
      </c>
      <c r="H474">
        <v>10</v>
      </c>
      <c r="I474">
        <v>90000</v>
      </c>
      <c r="J474">
        <v>9000</v>
      </c>
      <c r="K474">
        <v>81000</v>
      </c>
      <c r="L474">
        <f t="shared" si="7"/>
        <v>16200</v>
      </c>
    </row>
    <row r="475" spans="1:12">
      <c r="A475">
        <v>1474</v>
      </c>
      <c r="B475" t="s">
        <v>326</v>
      </c>
      <c r="C475" t="s">
        <v>50</v>
      </c>
      <c r="D475" t="s">
        <v>32</v>
      </c>
      <c r="E475" t="s">
        <v>51</v>
      </c>
      <c r="F475">
        <v>2</v>
      </c>
      <c r="G475">
        <v>50000</v>
      </c>
      <c r="H475">
        <v>10</v>
      </c>
      <c r="I475">
        <v>100000</v>
      </c>
      <c r="J475">
        <v>10000</v>
      </c>
      <c r="K475">
        <v>90000</v>
      </c>
      <c r="L475">
        <f t="shared" si="7"/>
        <v>18000</v>
      </c>
    </row>
    <row r="476" spans="1:12">
      <c r="A476">
        <v>1475</v>
      </c>
      <c r="B476" t="s">
        <v>327</v>
      </c>
      <c r="C476" t="s">
        <v>38</v>
      </c>
      <c r="D476" t="s">
        <v>47</v>
      </c>
      <c r="E476" t="s">
        <v>48</v>
      </c>
      <c r="F476">
        <v>6</v>
      </c>
      <c r="G476">
        <v>10000</v>
      </c>
      <c r="H476">
        <v>0</v>
      </c>
      <c r="I476">
        <v>60000</v>
      </c>
      <c r="J476">
        <v>0</v>
      </c>
      <c r="K476">
        <v>60000</v>
      </c>
      <c r="L476">
        <f t="shared" si="7"/>
        <v>12000</v>
      </c>
    </row>
    <row r="477" spans="1:12">
      <c r="A477">
        <v>1476</v>
      </c>
      <c r="B477" t="s">
        <v>126</v>
      </c>
      <c r="C477" t="s">
        <v>46</v>
      </c>
      <c r="D477" t="s">
        <v>32</v>
      </c>
      <c r="E477" t="s">
        <v>33</v>
      </c>
      <c r="F477">
        <v>6</v>
      </c>
      <c r="G477">
        <v>800</v>
      </c>
      <c r="H477">
        <v>5</v>
      </c>
      <c r="I477">
        <v>4800</v>
      </c>
      <c r="J477">
        <v>240</v>
      </c>
      <c r="K477">
        <v>4560</v>
      </c>
      <c r="L477">
        <f t="shared" si="7"/>
        <v>912</v>
      </c>
    </row>
    <row r="478" spans="1:12">
      <c r="A478">
        <v>1477</v>
      </c>
      <c r="B478" t="s">
        <v>68</v>
      </c>
      <c r="C478" t="s">
        <v>66</v>
      </c>
      <c r="D478" t="s">
        <v>47</v>
      </c>
      <c r="E478" t="s">
        <v>71</v>
      </c>
      <c r="F478">
        <v>9</v>
      </c>
      <c r="G478">
        <v>20000</v>
      </c>
      <c r="H478">
        <v>10</v>
      </c>
      <c r="I478">
        <v>180000</v>
      </c>
      <c r="J478">
        <v>18000</v>
      </c>
      <c r="K478">
        <v>162000</v>
      </c>
      <c r="L478">
        <f t="shared" si="7"/>
        <v>32400</v>
      </c>
    </row>
    <row r="479" spans="1:12">
      <c r="A479">
        <v>1478</v>
      </c>
      <c r="B479" t="s">
        <v>146</v>
      </c>
      <c r="C479" t="s">
        <v>70</v>
      </c>
      <c r="D479" t="s">
        <v>6</v>
      </c>
      <c r="E479" t="s">
        <v>29</v>
      </c>
      <c r="F479">
        <v>7</v>
      </c>
      <c r="G479">
        <v>800</v>
      </c>
      <c r="H479">
        <v>10</v>
      </c>
      <c r="I479">
        <v>5600</v>
      </c>
      <c r="J479">
        <v>560</v>
      </c>
      <c r="K479">
        <v>5040</v>
      </c>
      <c r="L479">
        <f t="shared" si="7"/>
        <v>1008</v>
      </c>
    </row>
    <row r="480" spans="1:12">
      <c r="A480">
        <v>1479</v>
      </c>
      <c r="B480" t="s">
        <v>322</v>
      </c>
      <c r="C480" t="s">
        <v>66</v>
      </c>
      <c r="D480" t="s">
        <v>32</v>
      </c>
      <c r="E480" t="s">
        <v>33</v>
      </c>
      <c r="F480">
        <v>2</v>
      </c>
      <c r="G480">
        <v>20000</v>
      </c>
      <c r="H480">
        <v>10</v>
      </c>
      <c r="I480">
        <v>40000</v>
      </c>
      <c r="J480">
        <v>4000</v>
      </c>
      <c r="K480">
        <v>36000</v>
      </c>
      <c r="L480">
        <f t="shared" si="7"/>
        <v>7200</v>
      </c>
    </row>
    <row r="481" spans="1:12">
      <c r="A481">
        <v>1480</v>
      </c>
      <c r="B481" t="s">
        <v>145</v>
      </c>
      <c r="C481" t="s">
        <v>21</v>
      </c>
      <c r="D481" t="s">
        <v>32</v>
      </c>
      <c r="E481" t="s">
        <v>33</v>
      </c>
      <c r="F481">
        <v>3</v>
      </c>
      <c r="G481">
        <v>2500</v>
      </c>
      <c r="H481">
        <v>2</v>
      </c>
      <c r="I481">
        <v>7500</v>
      </c>
      <c r="J481">
        <v>150</v>
      </c>
      <c r="K481">
        <v>7350</v>
      </c>
      <c r="L481">
        <f t="shared" si="7"/>
        <v>1470</v>
      </c>
    </row>
    <row r="482" spans="1:12">
      <c r="A482">
        <v>1481</v>
      </c>
      <c r="B482" t="s">
        <v>328</v>
      </c>
      <c r="C482" t="s">
        <v>56</v>
      </c>
      <c r="D482" t="s">
        <v>47</v>
      </c>
      <c r="E482" t="s">
        <v>71</v>
      </c>
      <c r="F482">
        <v>6</v>
      </c>
      <c r="G482">
        <v>800</v>
      </c>
      <c r="H482">
        <v>10</v>
      </c>
      <c r="I482">
        <v>4800</v>
      </c>
      <c r="J482">
        <v>480</v>
      </c>
      <c r="K482">
        <v>4320</v>
      </c>
      <c r="L482">
        <f t="shared" si="7"/>
        <v>864</v>
      </c>
    </row>
    <row r="483" spans="1:12">
      <c r="A483">
        <v>1482</v>
      </c>
      <c r="B483" t="s">
        <v>329</v>
      </c>
      <c r="C483" t="s">
        <v>58</v>
      </c>
      <c r="D483" t="s">
        <v>32</v>
      </c>
      <c r="E483" t="s">
        <v>33</v>
      </c>
      <c r="F483">
        <v>1</v>
      </c>
      <c r="G483">
        <v>500</v>
      </c>
      <c r="H483">
        <v>2</v>
      </c>
      <c r="I483">
        <v>500</v>
      </c>
      <c r="J483">
        <v>10</v>
      </c>
      <c r="K483">
        <v>490</v>
      </c>
      <c r="L483">
        <f t="shared" si="7"/>
        <v>98</v>
      </c>
    </row>
    <row r="484" spans="1:12">
      <c r="A484">
        <v>1483</v>
      </c>
      <c r="B484" t="s">
        <v>37</v>
      </c>
      <c r="C484" t="s">
        <v>50</v>
      </c>
      <c r="D484" t="s">
        <v>6</v>
      </c>
      <c r="E484" t="s">
        <v>29</v>
      </c>
      <c r="F484">
        <v>6</v>
      </c>
      <c r="G484">
        <v>2500</v>
      </c>
      <c r="H484">
        <v>0</v>
      </c>
      <c r="I484">
        <v>15000</v>
      </c>
      <c r="J484">
        <v>0</v>
      </c>
      <c r="K484">
        <v>15000</v>
      </c>
      <c r="L484">
        <f t="shared" si="7"/>
        <v>3000</v>
      </c>
    </row>
    <row r="485" spans="1:12">
      <c r="A485">
        <v>1484</v>
      </c>
      <c r="B485" t="s">
        <v>330</v>
      </c>
      <c r="C485" t="s">
        <v>70</v>
      </c>
      <c r="D485" t="s">
        <v>32</v>
      </c>
      <c r="E485" t="s">
        <v>41</v>
      </c>
      <c r="F485">
        <v>4</v>
      </c>
      <c r="G485">
        <v>800</v>
      </c>
      <c r="H485">
        <v>10</v>
      </c>
      <c r="I485">
        <v>3200</v>
      </c>
      <c r="J485">
        <v>320</v>
      </c>
      <c r="K485">
        <v>2880</v>
      </c>
      <c r="L485">
        <f t="shared" si="7"/>
        <v>576</v>
      </c>
    </row>
    <row r="486" spans="1:12">
      <c r="A486">
        <v>1485</v>
      </c>
      <c r="B486" t="s">
        <v>237</v>
      </c>
      <c r="C486" t="s">
        <v>70</v>
      </c>
      <c r="D486" t="s">
        <v>6</v>
      </c>
      <c r="E486" t="s">
        <v>29</v>
      </c>
      <c r="F486">
        <v>2</v>
      </c>
      <c r="G486">
        <v>800</v>
      </c>
      <c r="H486">
        <v>5</v>
      </c>
      <c r="I486">
        <v>1600</v>
      </c>
      <c r="J486">
        <v>80</v>
      </c>
      <c r="K486">
        <v>1520</v>
      </c>
      <c r="L486">
        <f t="shared" si="7"/>
        <v>304</v>
      </c>
    </row>
    <row r="487" spans="1:12">
      <c r="A487">
        <v>1486</v>
      </c>
      <c r="B487" t="s">
        <v>230</v>
      </c>
      <c r="C487" t="s">
        <v>70</v>
      </c>
      <c r="D487" t="s">
        <v>32</v>
      </c>
      <c r="E487" t="s">
        <v>41</v>
      </c>
      <c r="F487">
        <v>5</v>
      </c>
      <c r="G487">
        <v>20000</v>
      </c>
      <c r="H487">
        <v>5</v>
      </c>
      <c r="I487">
        <v>100000</v>
      </c>
      <c r="J487">
        <v>5000</v>
      </c>
      <c r="K487">
        <v>95000</v>
      </c>
      <c r="L487">
        <f t="shared" si="7"/>
        <v>19000</v>
      </c>
    </row>
    <row r="488" spans="1:12">
      <c r="A488">
        <v>1487</v>
      </c>
      <c r="B488" t="s">
        <v>45</v>
      </c>
      <c r="C488" t="s">
        <v>66</v>
      </c>
      <c r="D488" t="s">
        <v>47</v>
      </c>
      <c r="E488" t="s">
        <v>71</v>
      </c>
      <c r="F488">
        <v>7</v>
      </c>
      <c r="G488">
        <v>800</v>
      </c>
      <c r="H488">
        <v>10</v>
      </c>
      <c r="I488">
        <v>5600</v>
      </c>
      <c r="J488">
        <v>560</v>
      </c>
      <c r="K488">
        <v>5040</v>
      </c>
      <c r="L488">
        <f t="shared" si="7"/>
        <v>1008</v>
      </c>
    </row>
    <row r="489" spans="1:12">
      <c r="A489">
        <v>1488</v>
      </c>
      <c r="B489" t="s">
        <v>262</v>
      </c>
      <c r="C489" t="s">
        <v>50</v>
      </c>
      <c r="D489" t="s">
        <v>47</v>
      </c>
      <c r="E489" t="s">
        <v>71</v>
      </c>
      <c r="F489">
        <v>4</v>
      </c>
      <c r="G489">
        <v>2500</v>
      </c>
      <c r="H489">
        <v>10</v>
      </c>
      <c r="I489">
        <v>10000</v>
      </c>
      <c r="J489">
        <v>1000</v>
      </c>
      <c r="K489">
        <v>9000</v>
      </c>
      <c r="L489">
        <f t="shared" si="7"/>
        <v>1800</v>
      </c>
    </row>
    <row r="490" spans="1:12">
      <c r="A490">
        <v>1489</v>
      </c>
      <c r="B490" t="s">
        <v>194</v>
      </c>
      <c r="C490" t="s">
        <v>21</v>
      </c>
      <c r="D490" t="s">
        <v>32</v>
      </c>
      <c r="E490" t="s">
        <v>33</v>
      </c>
      <c r="F490">
        <v>5</v>
      </c>
      <c r="G490">
        <v>20000</v>
      </c>
      <c r="H490">
        <v>5</v>
      </c>
      <c r="I490">
        <v>100000</v>
      </c>
      <c r="J490">
        <v>5000</v>
      </c>
      <c r="K490">
        <v>95000</v>
      </c>
      <c r="L490">
        <f t="shared" si="7"/>
        <v>19000</v>
      </c>
    </row>
    <row r="491" spans="1:12">
      <c r="A491">
        <v>1490</v>
      </c>
      <c r="B491" t="s">
        <v>269</v>
      </c>
      <c r="C491" t="s">
        <v>66</v>
      </c>
      <c r="D491" t="s">
        <v>6</v>
      </c>
      <c r="E491" t="s">
        <v>9</v>
      </c>
      <c r="F491">
        <v>3</v>
      </c>
      <c r="G491">
        <v>10000</v>
      </c>
      <c r="H491">
        <v>15</v>
      </c>
      <c r="I491">
        <v>30000</v>
      </c>
      <c r="J491">
        <v>4500</v>
      </c>
      <c r="K491">
        <v>25500</v>
      </c>
      <c r="L491">
        <f t="shared" si="7"/>
        <v>5100</v>
      </c>
    </row>
    <row r="492" spans="1:12">
      <c r="A492">
        <v>1491</v>
      </c>
      <c r="B492" t="s">
        <v>331</v>
      </c>
      <c r="C492" t="s">
        <v>38</v>
      </c>
      <c r="D492" t="s">
        <v>6</v>
      </c>
      <c r="E492" t="s">
        <v>9</v>
      </c>
      <c r="F492">
        <v>6</v>
      </c>
      <c r="G492">
        <v>500</v>
      </c>
      <c r="H492">
        <v>2</v>
      </c>
      <c r="I492">
        <v>3000</v>
      </c>
      <c r="J492">
        <v>60</v>
      </c>
      <c r="K492">
        <v>2940</v>
      </c>
      <c r="L492">
        <f t="shared" si="7"/>
        <v>588</v>
      </c>
    </row>
    <row r="493" spans="1:12">
      <c r="A493">
        <v>1492</v>
      </c>
      <c r="B493" t="s">
        <v>332</v>
      </c>
      <c r="C493" t="s">
        <v>56</v>
      </c>
      <c r="D493" t="s">
        <v>32</v>
      </c>
      <c r="E493" t="s">
        <v>51</v>
      </c>
      <c r="F493">
        <v>4</v>
      </c>
      <c r="G493">
        <v>800</v>
      </c>
      <c r="H493">
        <v>0</v>
      </c>
      <c r="I493">
        <v>3200</v>
      </c>
      <c r="J493">
        <v>0</v>
      </c>
      <c r="K493">
        <v>3200</v>
      </c>
      <c r="L493">
        <f t="shared" si="7"/>
        <v>640</v>
      </c>
    </row>
    <row r="494" spans="1:12">
      <c r="A494">
        <v>1493</v>
      </c>
      <c r="B494" t="s">
        <v>105</v>
      </c>
      <c r="C494" t="s">
        <v>46</v>
      </c>
      <c r="D494" t="s">
        <v>32</v>
      </c>
      <c r="E494" t="s">
        <v>41</v>
      </c>
      <c r="F494">
        <v>2</v>
      </c>
      <c r="G494">
        <v>20000</v>
      </c>
      <c r="H494">
        <v>15</v>
      </c>
      <c r="I494">
        <v>40000</v>
      </c>
      <c r="J494">
        <v>6000</v>
      </c>
      <c r="K494">
        <v>34000</v>
      </c>
      <c r="L494">
        <f t="shared" si="7"/>
        <v>6800</v>
      </c>
    </row>
    <row r="495" spans="1:12">
      <c r="A495">
        <v>1494</v>
      </c>
      <c r="B495" t="s">
        <v>232</v>
      </c>
      <c r="C495" t="s">
        <v>38</v>
      </c>
      <c r="D495" t="s">
        <v>47</v>
      </c>
      <c r="E495" t="s">
        <v>48</v>
      </c>
      <c r="F495">
        <v>9</v>
      </c>
      <c r="G495">
        <v>1200</v>
      </c>
      <c r="H495">
        <v>2</v>
      </c>
      <c r="I495">
        <v>10800</v>
      </c>
      <c r="J495">
        <v>216</v>
      </c>
      <c r="K495">
        <v>10584</v>
      </c>
      <c r="L495">
        <f t="shared" si="7"/>
        <v>2116.8000000000002</v>
      </c>
    </row>
    <row r="496" spans="1:12">
      <c r="A496">
        <v>1495</v>
      </c>
      <c r="B496" t="s">
        <v>131</v>
      </c>
      <c r="C496" t="s">
        <v>21</v>
      </c>
      <c r="D496" t="s">
        <v>6</v>
      </c>
      <c r="E496" t="s">
        <v>29</v>
      </c>
      <c r="F496">
        <v>9</v>
      </c>
      <c r="G496">
        <v>5000</v>
      </c>
      <c r="H496">
        <v>0</v>
      </c>
      <c r="I496">
        <v>45000</v>
      </c>
      <c r="J496">
        <v>0</v>
      </c>
      <c r="K496">
        <v>45000</v>
      </c>
      <c r="L496">
        <f t="shared" si="7"/>
        <v>9000</v>
      </c>
    </row>
    <row r="497" spans="1:12">
      <c r="A497">
        <v>1496</v>
      </c>
      <c r="B497" t="s">
        <v>270</v>
      </c>
      <c r="C497" t="s">
        <v>46</v>
      </c>
      <c r="D497" t="s">
        <v>47</v>
      </c>
      <c r="E497" t="s">
        <v>75</v>
      </c>
      <c r="F497">
        <v>3</v>
      </c>
      <c r="G497">
        <v>800</v>
      </c>
      <c r="H497">
        <v>10</v>
      </c>
      <c r="I497">
        <v>2400</v>
      </c>
      <c r="J497">
        <v>240</v>
      </c>
      <c r="K497">
        <v>2160</v>
      </c>
      <c r="L497">
        <f t="shared" si="7"/>
        <v>432</v>
      </c>
    </row>
    <row r="498" spans="1:12">
      <c r="A498">
        <v>1497</v>
      </c>
      <c r="B498" t="s">
        <v>158</v>
      </c>
      <c r="C498" t="s">
        <v>56</v>
      </c>
      <c r="D498" t="s">
        <v>6</v>
      </c>
      <c r="E498" t="s">
        <v>22</v>
      </c>
      <c r="F498">
        <v>9</v>
      </c>
      <c r="G498">
        <v>20000</v>
      </c>
      <c r="H498">
        <v>2</v>
      </c>
      <c r="I498">
        <v>180000</v>
      </c>
      <c r="J498">
        <v>3600</v>
      </c>
      <c r="K498">
        <v>176400</v>
      </c>
      <c r="L498">
        <f t="shared" si="7"/>
        <v>35280</v>
      </c>
    </row>
    <row r="499" spans="1:12">
      <c r="A499">
        <v>1498</v>
      </c>
      <c r="B499" t="s">
        <v>331</v>
      </c>
      <c r="C499" t="s">
        <v>70</v>
      </c>
      <c r="D499" t="s">
        <v>32</v>
      </c>
      <c r="E499" t="s">
        <v>41</v>
      </c>
      <c r="F499">
        <v>9</v>
      </c>
      <c r="G499">
        <v>20000</v>
      </c>
      <c r="H499">
        <v>5</v>
      </c>
      <c r="I499">
        <v>180000</v>
      </c>
      <c r="J499">
        <v>9000</v>
      </c>
      <c r="K499">
        <v>171000</v>
      </c>
      <c r="L499">
        <f t="shared" si="7"/>
        <v>34200</v>
      </c>
    </row>
    <row r="500" spans="1:12">
      <c r="A500">
        <v>1499</v>
      </c>
      <c r="B500" t="s">
        <v>233</v>
      </c>
      <c r="C500" t="s">
        <v>21</v>
      </c>
      <c r="D500" t="s">
        <v>6</v>
      </c>
      <c r="E500" t="s">
        <v>29</v>
      </c>
      <c r="F500">
        <v>9</v>
      </c>
      <c r="G500">
        <v>10000</v>
      </c>
      <c r="H500">
        <v>0</v>
      </c>
      <c r="I500">
        <v>90000</v>
      </c>
      <c r="J500">
        <v>0</v>
      </c>
      <c r="K500">
        <v>90000</v>
      </c>
      <c r="L500">
        <f t="shared" si="7"/>
        <v>18000</v>
      </c>
    </row>
    <row r="501" spans="1:12">
      <c r="A501">
        <v>1500</v>
      </c>
      <c r="B501" t="s">
        <v>193</v>
      </c>
      <c r="C501" t="s">
        <v>70</v>
      </c>
      <c r="D501" t="s">
        <v>47</v>
      </c>
      <c r="E501" t="s">
        <v>71</v>
      </c>
      <c r="F501">
        <v>6</v>
      </c>
      <c r="G501">
        <v>20000</v>
      </c>
      <c r="H501">
        <v>15</v>
      </c>
      <c r="I501">
        <v>120000</v>
      </c>
      <c r="J501">
        <v>18000</v>
      </c>
      <c r="K501">
        <v>102000</v>
      </c>
      <c r="L501">
        <f t="shared" si="7"/>
        <v>20400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Tatireddy King</cp:lastModifiedBy>
  <cp:revision/>
  <dcterms:created xsi:type="dcterms:W3CDTF">2026-06-07T08:49:41Z</dcterms:created>
  <dcterms:modified xsi:type="dcterms:W3CDTF">2026-06-07T17:02:31Z</dcterms:modified>
  <cp:category/>
  <cp:contentStatus/>
</cp:coreProperties>
</file>